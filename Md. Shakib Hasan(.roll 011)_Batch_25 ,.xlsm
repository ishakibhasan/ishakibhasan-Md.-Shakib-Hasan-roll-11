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workbookPr codeName="ThisWorkbook" hidePivotFieldList="1" defaultThemeVersion="124226"/>
  <mc:AlternateContent xmlns:mc="http://schemas.openxmlformats.org/markup-compatibility/2006">
    <mc:Choice Requires="x15">
      <x15ac:absPath xmlns:x15ac="http://schemas.microsoft.com/office/spreadsheetml/2010/11/ac" url="C:\edge\"/>
    </mc:Choice>
  </mc:AlternateContent>
  <xr:revisionPtr revIDLastSave="0" documentId="8_{E638DE9A-E7C4-4D50-B910-A8407EC1188A}" xr6:coauthVersionLast="47" xr6:coauthVersionMax="47" xr10:uidLastSave="{00000000-0000-0000-0000-000000000000}"/>
  <bookViews>
    <workbookView xWindow="-120" yWindow="-120" windowWidth="20730" windowHeight="11760" xr2:uid="{00000000-000D-0000-FFFF-FFFF00000000}"/>
  </bookViews>
  <sheets>
    <sheet name="SaleData" sheetId="14" r:id="rId1"/>
    <sheet name="Month Wise total Sales" sheetId="15" r:id="rId2"/>
    <sheet name="Area Wise Total Sales" sheetId="16" r:id="rId3"/>
    <sheet name="Product Wise Total Sales " sheetId="18" r:id="rId4"/>
    <sheet name="Dashboard" sheetId="19" r:id="rId5"/>
  </sheets>
  <definedNames>
    <definedName name="Slicer_Area">#N/A</definedName>
    <definedName name="Slicer_Date_Time">#N/A</definedName>
    <definedName name="Slicer_Product_Name">#N/A</definedName>
  </definedNames>
  <calcPr calcId="191029"/>
  <pivotCaches>
    <pivotCache cacheId="0" r:id="rId6"/>
    <pivotCache cacheId="1" r:id="rId7"/>
    <pivotCache cacheId="2"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18" l="1"/>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B2" i="18"/>
  <c r="B2" i="15"/>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28" i="16"/>
  <c r="B44" i="16"/>
  <c r="B43" i="16"/>
  <c r="B42" i="16"/>
  <c r="B41" i="16"/>
  <c r="B40" i="16"/>
  <c r="B39" i="16"/>
  <c r="B38" i="16"/>
  <c r="B37" i="16"/>
  <c r="B36" i="16"/>
  <c r="B35" i="16"/>
  <c r="B34" i="16"/>
  <c r="B33" i="16"/>
  <c r="B32" i="16"/>
  <c r="B31" i="16"/>
  <c r="B30" i="16"/>
  <c r="B29"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F44" i="14" l="1"/>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3" i="14"/>
  <c r="F2" i="14"/>
</calcChain>
</file>

<file path=xl/sharedStrings.xml><?xml version="1.0" encoding="utf-8"?>
<sst xmlns="http://schemas.openxmlformats.org/spreadsheetml/2006/main" count="215" uniqueCount="33">
  <si>
    <t>Units</t>
  </si>
  <si>
    <t>Desk</t>
  </si>
  <si>
    <t>Television</t>
  </si>
  <si>
    <t>Cell Phone</t>
  </si>
  <si>
    <t>Video Games</t>
  </si>
  <si>
    <t>Unit_price</t>
  </si>
  <si>
    <t>Home Theater</t>
  </si>
  <si>
    <t>Area</t>
  </si>
  <si>
    <t>Barishal</t>
  </si>
  <si>
    <t>Chittagong</t>
  </si>
  <si>
    <t>Dhaka</t>
  </si>
  <si>
    <t>Khulna</t>
  </si>
  <si>
    <t>Mymensingh</t>
  </si>
  <si>
    <t>Product Name</t>
  </si>
  <si>
    <t>Total Sale_price</t>
  </si>
  <si>
    <t>Date/Time</t>
  </si>
  <si>
    <t>Row Labels</t>
  </si>
  <si>
    <t>Jan</t>
  </si>
  <si>
    <t>Feb</t>
  </si>
  <si>
    <t>Mar</t>
  </si>
  <si>
    <t>Apr</t>
  </si>
  <si>
    <t>May</t>
  </si>
  <si>
    <t>Jun</t>
  </si>
  <si>
    <t>Jul</t>
  </si>
  <si>
    <t>Aug</t>
  </si>
  <si>
    <t>Sep</t>
  </si>
  <si>
    <t>Oct</t>
  </si>
  <si>
    <t>Nov</t>
  </si>
  <si>
    <t>Dec</t>
  </si>
  <si>
    <t>Sum of Total Sale_price</t>
  </si>
  <si>
    <t>Total Sele_price</t>
  </si>
  <si>
    <t>Total Sale price</t>
  </si>
  <si>
    <t>Total Sales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</si>
</sst>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d/yy;@"/>
  </numFmts>
  <fonts count="9" x14ac:knownFonts="1">
    <font>
      <sz val="11"/>
      <name val="Calibri"/>
      <family val="2"/>
    </font>
    <font>
      <sz val="11"/>
      <color theme="1"/>
      <name val="Calibri"/>
      <family val="2"/>
      <scheme val="minor"/>
    </font>
    <font>
      <sz val="12"/>
      <name val="Arial Narrow"/>
      <family val="2"/>
    </font>
    <font>
      <u/>
      <sz val="11"/>
      <color indexed="12"/>
      <name val="Calibri"/>
      <family val="2"/>
      <scheme val="minor"/>
    </font>
    <font>
      <sz val="11"/>
      <color theme="1"/>
      <name val="Calibri"/>
      <family val="2"/>
    </font>
    <font>
      <sz val="11"/>
      <color theme="1"/>
      <name val="Times New Roman"/>
      <family val="1"/>
    </font>
    <font>
      <b/>
      <sz val="12"/>
      <name val="Times New Roman"/>
      <family val="1"/>
    </font>
    <font>
      <b/>
      <sz val="12"/>
      <color theme="1"/>
      <name val="Times New Roman"/>
      <family val="1"/>
    </font>
    <font>
      <sz val="12"/>
      <name val="Times New Roman"/>
      <family val="1"/>
    </font>
  </fonts>
  <fills count="5">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5">
    <xf numFmtId="0" fontId="0" fillId="0" borderId="0"/>
    <xf numFmtId="43" fontId="2" fillId="0" borderId="0" applyFont="0" applyFill="0" applyBorder="0" applyAlignment="0" applyProtection="0"/>
    <xf numFmtId="0" fontId="3" fillId="0" borderId="0" applyNumberFormat="0" applyFill="0" applyBorder="0" applyAlignment="0" applyProtection="0">
      <alignment horizontal="left" indent="1"/>
    </xf>
    <xf numFmtId="0" fontId="1" fillId="0" borderId="0"/>
    <xf numFmtId="0" fontId="3" fillId="0" borderId="0" applyNumberFormat="0" applyFill="0" applyBorder="0" applyAlignment="0" applyProtection="0">
      <alignment vertical="top"/>
      <protection locked="0"/>
    </xf>
  </cellStyleXfs>
  <cellXfs count="33">
    <xf numFmtId="0" fontId="0" fillId="0" borderId="0" xfId="0"/>
    <xf numFmtId="0" fontId="0" fillId="0" borderId="0" xfId="0"/>
    <xf numFmtId="0" fontId="0" fillId="0" borderId="0" xfId="0" applyFont="1"/>
    <xf numFmtId="0" fontId="0" fillId="0" borderId="0" xfId="0" applyFont="1" applyFill="1"/>
    <xf numFmtId="43" fontId="0" fillId="0" borderId="0" xfId="0" applyNumberFormat="1"/>
    <xf numFmtId="0" fontId="5" fillId="0" borderId="0" xfId="0" applyFont="1" applyAlignment="1">
      <alignment horizontal="center" vertical="center"/>
    </xf>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43" fontId="4" fillId="0" borderId="1" xfId="1" applyNumberFormat="1" applyFont="1" applyBorder="1" applyAlignment="1">
      <alignment horizontal="center" vertical="center"/>
    </xf>
    <xf numFmtId="164" fontId="4" fillId="0" borderId="1" xfId="0" applyNumberFormat="1" applyFont="1" applyBorder="1" applyAlignment="1">
      <alignment horizontal="center" vertical="center"/>
    </xf>
    <xf numFmtId="0" fontId="4" fillId="0" borderId="1" xfId="0" applyFont="1" applyBorder="1" applyAlignment="1">
      <alignment horizontal="center" vertical="center"/>
    </xf>
    <xf numFmtId="43" fontId="0" fillId="0" borderId="1" xfId="0" applyNumberFormat="1" applyBorder="1" applyAlignment="1">
      <alignment horizontal="center" vertical="center"/>
    </xf>
    <xf numFmtId="0" fontId="6" fillId="4" borderId="1" xfId="0" applyFont="1" applyFill="1" applyBorder="1" applyAlignment="1">
      <alignment horizontal="center" vertical="center"/>
    </xf>
    <xf numFmtId="43" fontId="7" fillId="4" borderId="1" xfId="1" applyNumberFormat="1" applyFont="1" applyFill="1" applyBorder="1" applyAlignment="1">
      <alignment horizontal="center" vertic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pivotButton="1"/>
    <xf numFmtId="0" fontId="0" fillId="0" borderId="0" xfId="0" applyAlignment="1">
      <alignment horizontal="left"/>
    </xf>
    <xf numFmtId="0" fontId="0" fillId="0" borderId="0" xfId="0" applyNumberFormat="1"/>
    <xf numFmtId="0" fontId="0" fillId="0" borderId="0" xfId="0" pivotButton="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center" vertical="center"/>
    </xf>
    <xf numFmtId="0" fontId="8" fillId="0" borderId="0" xfId="0" pivotButton="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cellXfs>
  <cellStyles count="5">
    <cellStyle name="Comma" xfId="1" builtinId="3"/>
    <cellStyle name="Ctx_Hyperlink" xfId="2" xr:uid="{00000000-0005-0000-0000-000001000000}"/>
    <cellStyle name="Hyperlink 2" xfId="4" xr:uid="{00000000-0005-0000-0000-000002000000}"/>
    <cellStyle name="Normal" xfId="0" builtinId="0" customBuiltin="1"/>
    <cellStyle name="Normal 4" xfId="3" xr:uid="{00000000-0005-0000-0000-000004000000}"/>
  </cellStyles>
  <dxfs count="36">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,.xlsm]Month Wise total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Month Wise total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 Wise total Sales'!$F$3</c:f>
              <c:strCache>
                <c:ptCount val="1"/>
                <c:pt idx="0">
                  <c:v>Total</c:v>
                </c:pt>
              </c:strCache>
            </c:strRef>
          </c:tx>
          <c:spPr>
            <a:solidFill>
              <a:schemeClr val="accent1"/>
            </a:solidFill>
            <a:ln>
              <a:noFill/>
            </a:ln>
            <a:effectLst/>
          </c:spPr>
          <c:invertIfNegative val="0"/>
          <c:cat>
            <c:strRef>
              <c:f>'Month Wise total Sales'!$E$4:$E$16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total Sales'!$F$4:$F$16</c:f>
              <c:numCache>
                <c:formatCode>General</c:formatCode>
                <c:ptCount val="12"/>
                <c:pt idx="0">
                  <c:v>161810</c:v>
                </c:pt>
                <c:pt idx="1">
                  <c:v>94703</c:v>
                </c:pt>
                <c:pt idx="2">
                  <c:v>73513</c:v>
                </c:pt>
                <c:pt idx="3">
                  <c:v>220518</c:v>
                </c:pt>
                <c:pt idx="4">
                  <c:v>249650</c:v>
                </c:pt>
                <c:pt idx="5">
                  <c:v>138445</c:v>
                </c:pt>
                <c:pt idx="6">
                  <c:v>61844.5</c:v>
                </c:pt>
                <c:pt idx="7">
                  <c:v>44762</c:v>
                </c:pt>
                <c:pt idx="8">
                  <c:v>26672</c:v>
                </c:pt>
                <c:pt idx="9">
                  <c:v>73672</c:v>
                </c:pt>
                <c:pt idx="10">
                  <c:v>14491</c:v>
                </c:pt>
                <c:pt idx="11">
                  <c:v>145595</c:v>
                </c:pt>
              </c:numCache>
            </c:numRef>
          </c:val>
          <c:extLst>
            <c:ext xmlns:c16="http://schemas.microsoft.com/office/drawing/2014/chart" uri="{C3380CC4-5D6E-409C-BE32-E72D297353CC}">
              <c16:uniqueId val="{00000000-833C-4283-BDC5-295375B8299C}"/>
            </c:ext>
          </c:extLst>
        </c:ser>
        <c:dLbls>
          <c:showLegendKey val="0"/>
          <c:showVal val="0"/>
          <c:showCatName val="0"/>
          <c:showSerName val="0"/>
          <c:showPercent val="0"/>
          <c:showBubbleSize val="0"/>
        </c:dLbls>
        <c:gapWidth val="219"/>
        <c:overlap val="-27"/>
        <c:axId val="244384575"/>
        <c:axId val="248166895"/>
      </c:barChart>
      <c:catAx>
        <c:axId val="24438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66895"/>
        <c:crosses val="autoZero"/>
        <c:auto val="1"/>
        <c:lblAlgn val="ctr"/>
        <c:lblOffset val="100"/>
        <c:noMultiLvlLbl val="0"/>
      </c:catAx>
      <c:valAx>
        <c:axId val="248166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384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,.xlsm]Area Wise Total Sales!PivotTable3</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r>
              <a:rPr lang="en-US" sz="1400" b="1" i="0" baseline="0">
                <a:effectLst/>
              </a:rPr>
              <a:t>Area Wise Total Sales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endParaRPr lang="en-US"/>
          </a:p>
        </c:rich>
      </c:tx>
      <c:layout>
        <c:manualLayout>
          <c:xMode val="edge"/>
          <c:yMode val="edge"/>
          <c:x val="0.25936789151356082"/>
          <c:y val="0.11934966462525518"/>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'Area Wise Total Sales'!$E$4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F619-4183-A10C-3D85DE68FE76}"/>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F619-4183-A10C-3D85DE68FE76}"/>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F619-4183-A10C-3D85DE68FE76}"/>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F619-4183-A10C-3D85DE68FE76}"/>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F619-4183-A10C-3D85DE68FE7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F619-4183-A10C-3D85DE68FE7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,.xlsm]Area Wise Total Sales!PivotTable3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Area Wise Total</a:t>
            </a:r>
            <a:r>
              <a:rPr lang="en-US" b="1" baseline="0">
                <a:latin typeface="Times New Roman" panose="02020603050405020304" pitchFamily="18" charset="0"/>
                <a:cs typeface="Times New Roman" panose="02020603050405020304" pitchFamily="18" charset="0"/>
              </a:rPr>
              <a:t> Sales</a:t>
            </a:r>
            <a:endParaRPr lang="en-US" b="1">
              <a:latin typeface="Times New Roman" panose="02020603050405020304" pitchFamily="18" charset="0"/>
              <a:cs typeface="Times New Roman" panose="02020603050405020304" pitchFamily="18" charset="0"/>
            </a:endParaRPr>
          </a:p>
        </c:rich>
      </c:tx>
      <c:layout>
        <c:manualLayout>
          <c:xMode val="edge"/>
          <c:yMode val="edge"/>
          <c:x val="0.31629855643044619"/>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'Area Wise Total Sales'!$E$4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8F76-429B-AFE0-D704A3D30406}"/>
            </c:ext>
          </c:extLst>
        </c:ser>
        <c:dLbls>
          <c:showLegendKey val="0"/>
          <c:showVal val="0"/>
          <c:showCatName val="0"/>
          <c:showSerName val="0"/>
          <c:showPercent val="0"/>
          <c:showBubbleSize val="0"/>
        </c:dLbls>
        <c:gapWidth val="219"/>
        <c:overlap val="-27"/>
        <c:axId val="267018447"/>
        <c:axId val="107035887"/>
      </c:barChart>
      <c:catAx>
        <c:axId val="26701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5887"/>
        <c:crosses val="autoZero"/>
        <c:auto val="1"/>
        <c:lblAlgn val="ctr"/>
        <c:lblOffset val="100"/>
        <c:noMultiLvlLbl val="0"/>
      </c:catAx>
      <c:valAx>
        <c:axId val="1070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1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,.xlsm]Product Wise Total Sales !PivotTable5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Times New Roman" panose="02020603050405020304" pitchFamily="18" charset="0"/>
                <a:cs typeface="Times New Roman" panose="02020603050405020304" pitchFamily="18" charset="0"/>
              </a:rPr>
              <a:t>Product Wise Total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Wise Total Sales '!$F$4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Wise Total Sales '!$E$5:$E$10</c:f>
              <c:strCache>
                <c:ptCount val="5"/>
                <c:pt idx="0">
                  <c:v>Cell Phone</c:v>
                </c:pt>
                <c:pt idx="1">
                  <c:v>Desk</c:v>
                </c:pt>
                <c:pt idx="2">
                  <c:v>Home Theater</c:v>
                </c:pt>
                <c:pt idx="3">
                  <c:v>Television</c:v>
                </c:pt>
                <c:pt idx="4">
                  <c:v>Video Games</c:v>
                </c:pt>
              </c:strCache>
            </c:strRef>
          </c:cat>
          <c:val>
            <c:numRef>
              <c:f>'Product Wise Total Sales '!$F$5:$F$10</c:f>
              <c:numCache>
                <c:formatCode>General</c:formatCode>
                <c:ptCount val="5"/>
                <c:pt idx="0">
                  <c:v>62550</c:v>
                </c:pt>
                <c:pt idx="1">
                  <c:v>1250</c:v>
                </c:pt>
                <c:pt idx="2">
                  <c:v>361000</c:v>
                </c:pt>
                <c:pt idx="3">
                  <c:v>857768</c:v>
                </c:pt>
                <c:pt idx="4">
                  <c:v>49182.5</c:v>
                </c:pt>
              </c:numCache>
            </c:numRef>
          </c:val>
          <c:extLst>
            <c:ext xmlns:c16="http://schemas.microsoft.com/office/drawing/2014/chart" uri="{C3380CC4-5D6E-409C-BE32-E72D297353CC}">
              <c16:uniqueId val="{00000000-3CAD-4826-BF13-CFB70B4803DF}"/>
            </c:ext>
          </c:extLst>
        </c:ser>
        <c:dLbls>
          <c:showLegendKey val="0"/>
          <c:showVal val="0"/>
          <c:showCatName val="0"/>
          <c:showSerName val="0"/>
          <c:showPercent val="0"/>
          <c:showBubbleSize val="0"/>
        </c:dLbls>
        <c:gapWidth val="150"/>
        <c:shape val="box"/>
        <c:axId val="395396543"/>
        <c:axId val="103220895"/>
        <c:axId val="0"/>
      </c:bar3DChart>
      <c:catAx>
        <c:axId val="395396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20895"/>
        <c:crosses val="autoZero"/>
        <c:auto val="1"/>
        <c:lblAlgn val="ctr"/>
        <c:lblOffset val="100"/>
        <c:noMultiLvlLbl val="0"/>
      </c:catAx>
      <c:valAx>
        <c:axId val="10322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96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,.xlsm]Month Wise total Sales!PivotTable2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Month Wise total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 Wise total Sales'!$F$3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 Wise total Sales'!$E$4:$E$16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total Sales'!$F$4:$F$16</c:f>
              <c:numCache>
                <c:formatCode>General</c:formatCode>
                <c:ptCount val="12"/>
                <c:pt idx="0">
                  <c:v>161810</c:v>
                </c:pt>
                <c:pt idx="1">
                  <c:v>94703</c:v>
                </c:pt>
                <c:pt idx="2">
                  <c:v>73513</c:v>
                </c:pt>
                <c:pt idx="3">
                  <c:v>220518</c:v>
                </c:pt>
                <c:pt idx="4">
                  <c:v>249650</c:v>
                </c:pt>
                <c:pt idx="5">
                  <c:v>138445</c:v>
                </c:pt>
                <c:pt idx="6">
                  <c:v>61844.5</c:v>
                </c:pt>
                <c:pt idx="7">
                  <c:v>44762</c:v>
                </c:pt>
                <c:pt idx="8">
                  <c:v>26672</c:v>
                </c:pt>
                <c:pt idx="9">
                  <c:v>73672</c:v>
                </c:pt>
                <c:pt idx="10">
                  <c:v>14491</c:v>
                </c:pt>
                <c:pt idx="11">
                  <c:v>145595</c:v>
                </c:pt>
              </c:numCache>
            </c:numRef>
          </c:val>
          <c:extLst>
            <c:ext xmlns:c16="http://schemas.microsoft.com/office/drawing/2014/chart" uri="{C3380CC4-5D6E-409C-BE32-E72D297353CC}">
              <c16:uniqueId val="{00000000-869A-4E6E-9421-0CBC2225CB50}"/>
            </c:ext>
          </c:extLst>
        </c:ser>
        <c:dLbls>
          <c:showLegendKey val="0"/>
          <c:showVal val="0"/>
          <c:showCatName val="0"/>
          <c:showSerName val="0"/>
          <c:showPercent val="0"/>
          <c:showBubbleSize val="0"/>
        </c:dLbls>
        <c:gapWidth val="219"/>
        <c:overlap val="-27"/>
        <c:axId val="244384575"/>
        <c:axId val="248166895"/>
      </c:barChart>
      <c:catAx>
        <c:axId val="24438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66895"/>
        <c:crosses val="autoZero"/>
        <c:auto val="1"/>
        <c:lblAlgn val="ctr"/>
        <c:lblOffset val="100"/>
        <c:noMultiLvlLbl val="0"/>
      </c:catAx>
      <c:valAx>
        <c:axId val="248166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384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,.xlsm]Area Wise Total Sales!PivotTable3</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r>
              <a:rPr lang="en-US" sz="1400" b="1" i="0" baseline="0">
                <a:effectLst/>
              </a:rPr>
              <a:t>Area Wise Total Sales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25936789151356082"/>
          <c:y val="0.11934966462525518"/>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'Area Wise Total Sales'!$E$4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72C-4E2F-8CB0-48A8C6B6EC6B}"/>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72C-4E2F-8CB0-48A8C6B6EC6B}"/>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72C-4E2F-8CB0-48A8C6B6EC6B}"/>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72C-4E2F-8CB0-48A8C6B6EC6B}"/>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72C-4E2F-8CB0-48A8C6B6EC6B}"/>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972C-4E2F-8CB0-48A8C6B6EC6B}"/>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972C-4E2F-8CB0-48A8C6B6EC6B}"/>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5-972C-4E2F-8CB0-48A8C6B6EC6B}"/>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7-972C-4E2F-8CB0-48A8C6B6EC6B}"/>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9-972C-4E2F-8CB0-48A8C6B6EC6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A-972C-4E2F-8CB0-48A8C6B6EC6B}"/>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,.xlsm]Area Wise Total Sales!PivotTable3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Area Wise Total</a:t>
            </a:r>
            <a:r>
              <a:rPr lang="en-US" b="1" baseline="0">
                <a:latin typeface="Times New Roman" panose="02020603050405020304" pitchFamily="18" charset="0"/>
                <a:cs typeface="Times New Roman" panose="02020603050405020304" pitchFamily="18" charset="0"/>
              </a:rPr>
              <a:t> Sales</a:t>
            </a:r>
            <a:endParaRPr lang="en-US" b="1">
              <a:latin typeface="Times New Roman" panose="02020603050405020304" pitchFamily="18" charset="0"/>
              <a:cs typeface="Times New Roman" panose="02020603050405020304" pitchFamily="18" charset="0"/>
            </a:endParaRPr>
          </a:p>
        </c:rich>
      </c:tx>
      <c:layout>
        <c:manualLayout>
          <c:xMode val="edge"/>
          <c:yMode val="edge"/>
          <c:x val="0.31629855643044619"/>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'Area Wise Total Sales'!$E$4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7518-4AEB-8409-350D19501CA5}"/>
            </c:ext>
          </c:extLst>
        </c:ser>
        <c:dLbls>
          <c:showLegendKey val="0"/>
          <c:showVal val="0"/>
          <c:showCatName val="0"/>
          <c:showSerName val="0"/>
          <c:showPercent val="0"/>
          <c:showBubbleSize val="0"/>
        </c:dLbls>
        <c:gapWidth val="219"/>
        <c:overlap val="-27"/>
        <c:axId val="267018447"/>
        <c:axId val="107035887"/>
      </c:barChart>
      <c:catAx>
        <c:axId val="26701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5887"/>
        <c:crosses val="autoZero"/>
        <c:auto val="1"/>
        <c:lblAlgn val="ctr"/>
        <c:lblOffset val="100"/>
        <c:noMultiLvlLbl val="0"/>
      </c:catAx>
      <c:valAx>
        <c:axId val="1070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1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 Shakib Hasan(.roll 011)_Batch_25 ,.xlsm]Product Wise Total Sales !PivotTable5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Times New Roman" panose="02020603050405020304" pitchFamily="18" charset="0"/>
                <a:cs typeface="Times New Roman" panose="02020603050405020304" pitchFamily="18" charset="0"/>
              </a:rPr>
              <a:t>Product Wise Total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Wise Total Sales '!$F$4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Wise Total Sales '!$E$5:$E$10</c:f>
              <c:strCache>
                <c:ptCount val="5"/>
                <c:pt idx="0">
                  <c:v>Cell Phone</c:v>
                </c:pt>
                <c:pt idx="1">
                  <c:v>Desk</c:v>
                </c:pt>
                <c:pt idx="2">
                  <c:v>Home Theater</c:v>
                </c:pt>
                <c:pt idx="3">
                  <c:v>Television</c:v>
                </c:pt>
                <c:pt idx="4">
                  <c:v>Video Games</c:v>
                </c:pt>
              </c:strCache>
            </c:strRef>
          </c:cat>
          <c:val>
            <c:numRef>
              <c:f>'Product Wise Total Sales '!$F$5:$F$10</c:f>
              <c:numCache>
                <c:formatCode>General</c:formatCode>
                <c:ptCount val="5"/>
                <c:pt idx="0">
                  <c:v>62550</c:v>
                </c:pt>
                <c:pt idx="1">
                  <c:v>1250</c:v>
                </c:pt>
                <c:pt idx="2">
                  <c:v>361000</c:v>
                </c:pt>
                <c:pt idx="3">
                  <c:v>857768</c:v>
                </c:pt>
                <c:pt idx="4">
                  <c:v>49182.5</c:v>
                </c:pt>
              </c:numCache>
            </c:numRef>
          </c:val>
          <c:extLst>
            <c:ext xmlns:c16="http://schemas.microsoft.com/office/drawing/2014/chart" uri="{C3380CC4-5D6E-409C-BE32-E72D297353CC}">
              <c16:uniqueId val="{00000000-628D-4B6F-8F02-55F551A7A66A}"/>
            </c:ext>
          </c:extLst>
        </c:ser>
        <c:dLbls>
          <c:showLegendKey val="0"/>
          <c:showVal val="0"/>
          <c:showCatName val="0"/>
          <c:showSerName val="0"/>
          <c:showPercent val="0"/>
          <c:showBubbleSize val="0"/>
        </c:dLbls>
        <c:gapWidth val="150"/>
        <c:shape val="box"/>
        <c:axId val="395396543"/>
        <c:axId val="103220895"/>
        <c:axId val="0"/>
      </c:bar3DChart>
      <c:catAx>
        <c:axId val="395396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20895"/>
        <c:crosses val="autoZero"/>
        <c:auto val="1"/>
        <c:lblAlgn val="ctr"/>
        <c:lblOffset val="100"/>
        <c:noMultiLvlLbl val="0"/>
      </c:catAx>
      <c:valAx>
        <c:axId val="10322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96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45720</xdr:colOff>
      <xdr:row>0</xdr:row>
      <xdr:rowOff>163830</xdr:rowOff>
    </xdr:from>
    <xdr:to>
      <xdr:col>13</xdr:col>
      <xdr:colOff>350520</xdr:colOff>
      <xdr:row>15</xdr:row>
      <xdr:rowOff>148590</xdr:rowOff>
    </xdr:to>
    <xdr:graphicFrame macro="">
      <xdr:nvGraphicFramePr>
        <xdr:cNvPr id="2" name="Chart 1">
          <a:extLst>
            <a:ext uri="{FF2B5EF4-FFF2-40B4-BE49-F238E27FC236}">
              <a16:creationId xmlns:a16="http://schemas.microsoft.com/office/drawing/2014/main" id="{4AAC8124-B661-4D81-9E9E-1406EE8401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358140</xdr:colOff>
      <xdr:row>7</xdr:row>
      <xdr:rowOff>137160</xdr:rowOff>
    </xdr:from>
    <xdr:to>
      <xdr:col>9</xdr:col>
      <xdr:colOff>358140</xdr:colOff>
      <xdr:row>27</xdr:row>
      <xdr:rowOff>68580</xdr:rowOff>
    </xdr:to>
    <mc:AlternateContent xmlns:mc="http://schemas.openxmlformats.org/markup-compatibility/2006" xmlns:a14="http://schemas.microsoft.com/office/drawing/2010/main">
      <mc:Choice Requires="a14">
        <xdr:graphicFrame macro="">
          <xdr:nvGraphicFramePr>
            <xdr:cNvPr id="3" name="Date/Time">
              <a:extLst>
                <a:ext uri="{FF2B5EF4-FFF2-40B4-BE49-F238E27FC236}">
                  <a16:creationId xmlns:a16="http://schemas.microsoft.com/office/drawing/2014/main" id="{384ABB55-CC5F-463E-A5DF-290096710EF9}"/>
                </a:ext>
              </a:extLst>
            </xdr:cNvPr>
            <xdr:cNvGraphicFramePr/>
          </xdr:nvGraphicFramePr>
          <xdr:xfrm>
            <a:off x="0" y="0"/>
            <a:ext cx="0" cy="0"/>
          </xdr:xfrm>
          <a:graphic>
            <a:graphicData uri="http://schemas.microsoft.com/office/drawing/2010/slicer">
              <sle:slicer xmlns:sle="http://schemas.microsoft.com/office/drawing/2010/slicer" name="Date/Time"/>
            </a:graphicData>
          </a:graphic>
        </xdr:graphicFrame>
      </mc:Choice>
      <mc:Fallback xmlns="">
        <xdr:sp macro="" textlink="">
          <xdr:nvSpPr>
            <xdr:cNvPr id="0" name=""/>
            <xdr:cNvSpPr>
              <a:spLocks noTextEdit="1"/>
            </xdr:cNvSpPr>
          </xdr:nvSpPr>
          <xdr:spPr>
            <a:xfrm>
              <a:off x="6217920" y="1432560"/>
              <a:ext cx="1828800" cy="3589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99060</xdr:colOff>
      <xdr:row>2</xdr:row>
      <xdr:rowOff>133350</xdr:rowOff>
    </xdr:from>
    <xdr:to>
      <xdr:col>12</xdr:col>
      <xdr:colOff>403860</xdr:colOff>
      <xdr:row>17</xdr:row>
      <xdr:rowOff>26670</xdr:rowOff>
    </xdr:to>
    <xdr:graphicFrame macro="">
      <xdr:nvGraphicFramePr>
        <xdr:cNvPr id="2" name="Chart 1">
          <a:extLst>
            <a:ext uri="{FF2B5EF4-FFF2-40B4-BE49-F238E27FC236}">
              <a16:creationId xmlns:a16="http://schemas.microsoft.com/office/drawing/2014/main" id="{108170A5-DBD9-4398-922A-A74F468E7B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327660</xdr:colOff>
      <xdr:row>10</xdr:row>
      <xdr:rowOff>57150</xdr:rowOff>
    </xdr:from>
    <xdr:to>
      <xdr:col>7</xdr:col>
      <xdr:colOff>358140</xdr:colOff>
      <xdr:row>25</xdr:row>
      <xdr:rowOff>57150</xdr:rowOff>
    </xdr:to>
    <xdr:graphicFrame macro="">
      <xdr:nvGraphicFramePr>
        <xdr:cNvPr id="3" name="Chart 2">
          <a:extLst>
            <a:ext uri="{FF2B5EF4-FFF2-40B4-BE49-F238E27FC236}">
              <a16:creationId xmlns:a16="http://schemas.microsoft.com/office/drawing/2014/main" id="{18639215-B06E-4AB5-A233-BFB9B5AFA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434340</xdr:colOff>
      <xdr:row>8</xdr:row>
      <xdr:rowOff>160746</xdr:rowOff>
    </xdr:from>
    <xdr:to>
      <xdr:col>11</xdr:col>
      <xdr:colOff>439783</xdr:colOff>
      <xdr:row>18</xdr:row>
      <xdr:rowOff>36286</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A43A9BDB-A20E-444A-96A4-2B41CCD7603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7791269" y="1721032"/>
              <a:ext cx="1828800" cy="1726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137160</xdr:colOff>
      <xdr:row>6</xdr:row>
      <xdr:rowOff>80010</xdr:rowOff>
    </xdr:from>
    <xdr:to>
      <xdr:col>13</xdr:col>
      <xdr:colOff>441960</xdr:colOff>
      <xdr:row>21</xdr:row>
      <xdr:rowOff>80010</xdr:rowOff>
    </xdr:to>
    <xdr:graphicFrame macro="">
      <xdr:nvGraphicFramePr>
        <xdr:cNvPr id="2" name="Chart 1">
          <a:extLst>
            <a:ext uri="{FF2B5EF4-FFF2-40B4-BE49-F238E27FC236}">
              <a16:creationId xmlns:a16="http://schemas.microsoft.com/office/drawing/2014/main" id="{02C60CB1-31DE-4624-A09D-37350896E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358140</xdr:colOff>
      <xdr:row>10</xdr:row>
      <xdr:rowOff>137161</xdr:rowOff>
    </xdr:from>
    <xdr:to>
      <xdr:col>5</xdr:col>
      <xdr:colOff>1188720</xdr:colOff>
      <xdr:row>20</xdr:row>
      <xdr:rowOff>1</xdr:rowOff>
    </xdr:to>
    <mc:AlternateContent xmlns:mc="http://schemas.openxmlformats.org/markup-compatibility/2006" xmlns:a14="http://schemas.microsoft.com/office/drawing/2010/main">
      <mc:Choice Requires="a14">
        <xdr:graphicFrame macro="">
          <xdr:nvGraphicFramePr>
            <xdr:cNvPr id="5" name="Product Name">
              <a:extLst>
                <a:ext uri="{FF2B5EF4-FFF2-40B4-BE49-F238E27FC236}">
                  <a16:creationId xmlns:a16="http://schemas.microsoft.com/office/drawing/2014/main" id="{839C916F-3949-47AA-811F-D34E112F0653}"/>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3741420" y="1981201"/>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0</xdr:colOff>
      <xdr:row>20</xdr:row>
      <xdr:rowOff>114300</xdr:rowOff>
    </xdr:to>
    <mc:AlternateContent xmlns:mc="http://schemas.openxmlformats.org/markup-compatibility/2006" xmlns:a14="http://schemas.microsoft.com/office/drawing/2010/main">
      <mc:Choice Requires="a14">
        <xdr:graphicFrame macro="">
          <xdr:nvGraphicFramePr>
            <xdr:cNvPr id="2" name="Date/Time 1">
              <a:extLst>
                <a:ext uri="{FF2B5EF4-FFF2-40B4-BE49-F238E27FC236}">
                  <a16:creationId xmlns:a16="http://schemas.microsoft.com/office/drawing/2014/main" id="{5E75307F-A295-47E7-BD92-EC8A346528D1}"/>
                </a:ext>
              </a:extLst>
            </xdr:cNvPr>
            <xdr:cNvGraphicFramePr/>
          </xdr:nvGraphicFramePr>
          <xdr:xfrm>
            <a:off x="0" y="0"/>
            <a:ext cx="0" cy="0"/>
          </xdr:xfrm>
          <a:graphic>
            <a:graphicData uri="http://schemas.microsoft.com/office/drawing/2010/slicer">
              <sle:slicer xmlns:sle="http://schemas.microsoft.com/office/drawing/2010/slicer" name="Date/Time 1"/>
            </a:graphicData>
          </a:graphic>
        </xdr:graphicFrame>
      </mc:Choice>
      <mc:Fallback xmlns="">
        <xdr:sp macro="" textlink="">
          <xdr:nvSpPr>
            <xdr:cNvPr id="0" name=""/>
            <xdr:cNvSpPr>
              <a:spLocks noTextEdit="1"/>
            </xdr:cNvSpPr>
          </xdr:nvSpPr>
          <xdr:spPr>
            <a:xfrm>
              <a:off x="0" y="182880"/>
              <a:ext cx="1828800" cy="3589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xdr:row>
      <xdr:rowOff>0</xdr:rowOff>
    </xdr:from>
    <xdr:to>
      <xdr:col>11</xdr:col>
      <xdr:colOff>533400</xdr:colOff>
      <xdr:row>14</xdr:row>
      <xdr:rowOff>99060</xdr:rowOff>
    </xdr:to>
    <xdr:graphicFrame macro="">
      <xdr:nvGraphicFramePr>
        <xdr:cNvPr id="3" name="Chart 2">
          <a:extLst>
            <a:ext uri="{FF2B5EF4-FFF2-40B4-BE49-F238E27FC236}">
              <a16:creationId xmlns:a16="http://schemas.microsoft.com/office/drawing/2014/main" id="{4C775720-9EEB-48B9-B080-88B89E791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68580</xdr:colOff>
      <xdr:row>21</xdr:row>
      <xdr:rowOff>121920</xdr:rowOff>
    </xdr:from>
    <xdr:to>
      <xdr:col>3</xdr:col>
      <xdr:colOff>68580</xdr:colOff>
      <xdr:row>31</xdr:row>
      <xdr:rowOff>19231</xdr:rowOff>
    </xdr:to>
    <mc:AlternateContent xmlns:mc="http://schemas.openxmlformats.org/markup-compatibility/2006" xmlns:a14="http://schemas.microsoft.com/office/drawing/2010/main">
      <mc:Choice Requires="a14">
        <xdr:graphicFrame macro="">
          <xdr:nvGraphicFramePr>
            <xdr:cNvPr id="4" name="Area 1">
              <a:extLst>
                <a:ext uri="{FF2B5EF4-FFF2-40B4-BE49-F238E27FC236}">
                  <a16:creationId xmlns:a16="http://schemas.microsoft.com/office/drawing/2014/main" id="{A10774F9-3FC8-48D5-87CB-70A92B5D232E}"/>
                </a:ext>
              </a:extLst>
            </xdr:cNvPr>
            <xdr:cNvGraphicFramePr/>
          </xdr:nvGraphicFramePr>
          <xdr:xfrm>
            <a:off x="0" y="0"/>
            <a:ext cx="0" cy="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68580" y="3962400"/>
              <a:ext cx="1828800" cy="1726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182880</xdr:colOff>
      <xdr:row>16</xdr:row>
      <xdr:rowOff>30480</xdr:rowOff>
    </xdr:from>
    <xdr:to>
      <xdr:col>10</xdr:col>
      <xdr:colOff>474980</xdr:colOff>
      <xdr:row>31</xdr:row>
      <xdr:rowOff>29029</xdr:rowOff>
    </xdr:to>
    <xdr:graphicFrame macro="">
      <xdr:nvGraphicFramePr>
        <xdr:cNvPr id="5" name="Chart 4">
          <a:extLst>
            <a:ext uri="{FF2B5EF4-FFF2-40B4-BE49-F238E27FC236}">
              <a16:creationId xmlns:a16="http://schemas.microsoft.com/office/drawing/2014/main" id="{8F148ED3-039C-499B-9CC3-9A7572FA79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53340</xdr:colOff>
      <xdr:row>15</xdr:row>
      <xdr:rowOff>167640</xdr:rowOff>
    </xdr:from>
    <xdr:to>
      <xdr:col>18</xdr:col>
      <xdr:colOff>597263</xdr:colOff>
      <xdr:row>30</xdr:row>
      <xdr:rowOff>145868</xdr:rowOff>
    </xdr:to>
    <xdr:graphicFrame macro="">
      <xdr:nvGraphicFramePr>
        <xdr:cNvPr id="6" name="Chart 5">
          <a:extLst>
            <a:ext uri="{FF2B5EF4-FFF2-40B4-BE49-F238E27FC236}">
              <a16:creationId xmlns:a16="http://schemas.microsoft.com/office/drawing/2014/main" id="{8493CD0E-DCC2-403D-870D-156BDB6E5C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32</xdr:row>
      <xdr:rowOff>0</xdr:rowOff>
    </xdr:from>
    <xdr:to>
      <xdr:col>3</xdr:col>
      <xdr:colOff>0</xdr:colOff>
      <xdr:row>41</xdr:row>
      <xdr:rowOff>45720</xdr:rowOff>
    </xdr:to>
    <mc:AlternateContent xmlns:mc="http://schemas.openxmlformats.org/markup-compatibility/2006" xmlns:a14="http://schemas.microsoft.com/office/drawing/2010/main">
      <mc:Choice Requires="a14">
        <xdr:graphicFrame macro="">
          <xdr:nvGraphicFramePr>
            <xdr:cNvPr id="7" name="Product Name 1">
              <a:extLst>
                <a:ext uri="{FF2B5EF4-FFF2-40B4-BE49-F238E27FC236}">
                  <a16:creationId xmlns:a16="http://schemas.microsoft.com/office/drawing/2014/main" id="{38645904-4990-4754-A5D7-2A5143B126EE}"/>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0" y="5852160"/>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0</xdr:colOff>
      <xdr:row>32</xdr:row>
      <xdr:rowOff>0</xdr:rowOff>
    </xdr:from>
    <xdr:to>
      <xdr:col>12</xdr:col>
      <xdr:colOff>464820</xdr:colOff>
      <xdr:row>44</xdr:row>
      <xdr:rowOff>167640</xdr:rowOff>
    </xdr:to>
    <xdr:graphicFrame macro="">
      <xdr:nvGraphicFramePr>
        <xdr:cNvPr id="8" name="Chart 7">
          <a:extLst>
            <a:ext uri="{FF2B5EF4-FFF2-40B4-BE49-F238E27FC236}">
              <a16:creationId xmlns:a16="http://schemas.microsoft.com/office/drawing/2014/main" id="{07096A7B-10EA-40B2-AAC8-BA6B11BB3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Shakib/AppData/Local/Microsoft/Windows/INetCache/IE/A4VO6JTT/Mohammad%20simon%20kabir%20_Batch_30%20,%20Project%5b1%5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Shakib/AppData/Local/Microsoft/Windows/INetCache/IE/A4VO6JTT/Mohammad%20simon%20kabir%20_Batch_30%20,%20Project%5b1%5d.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Shakib/AppData/Local/Microsoft/Windows/INetCache/IE/A4VO6JTT/Mohammad%20simon%20kabir%20_Batch_30%20,%20Project%5b1%5d.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69.052028356484" createdVersion="6" refreshedVersion="6" minRefreshableVersion="3" recordCount="43" xr:uid="{6AC2627B-F03D-4478-A2D8-32ABCA7A2804}">
  <cacheSource type="worksheet">
    <worksheetSource ref="A1:B44" sheet=".xlsm]Month Wise total Sales" r:id="rId2"/>
  </cacheSource>
  <cacheFields count="4">
    <cacheField name="Date/Time" numFmtId="164">
      <sharedItems containsSemiMixedTypes="0" containsNonDate="0" containsDate="1" containsString="0" minDate="2018-01-06T00:00:00" maxDate="2019-12-22T00:00:00" count="43">
        <d v="2018-01-06T00:00:00"/>
        <d v="2018-01-23T00:00:00"/>
        <d v="2018-02-09T00:00:00"/>
        <d v="2018-02-26T00:00:00"/>
        <d v="2018-03-15T00:00:00"/>
        <d v="2018-04-01T00:00:00"/>
        <d v="2018-04-18T00:00:00"/>
        <d v="2018-05-05T00:00:00"/>
        <d v="2018-05-22T00:00:00"/>
        <d v="2018-06-08T00:00:00"/>
        <d v="2018-06-25T00:00:00"/>
        <d v="2018-07-12T00:00:00"/>
        <d v="2018-07-29T00:00:00"/>
        <d v="2018-08-15T00:00:00"/>
        <d v="2018-09-01T00:00:00"/>
        <d v="2018-09-18T00:00:00"/>
        <d v="2018-10-05T00:00:00"/>
        <d v="2018-10-22T00:00:00"/>
        <d v="2018-11-08T00:00:00"/>
        <d v="2018-11-25T00:00:00"/>
        <d v="2018-12-12T00:00:00"/>
        <d v="2018-12-29T00:00:00"/>
        <d v="2019-01-15T00:00:00"/>
        <d v="2019-02-01T00:00:00"/>
        <d v="2019-02-18T00:00:00"/>
        <d v="2019-03-07T00:00:00"/>
        <d v="2019-03-24T00:00:00"/>
        <d v="2019-04-10T00:00:00"/>
        <d v="2019-04-27T00:00:00"/>
        <d v="2019-05-14T00:00:00"/>
        <d v="2019-05-31T00:00:00"/>
        <d v="2019-06-17T00:00:00"/>
        <d v="2019-07-04T00:00:00"/>
        <d v="2019-07-21T00:00:00"/>
        <d v="2019-08-07T00:00:00"/>
        <d v="2019-08-24T00:00:00"/>
        <d v="2019-09-10T00:00:00"/>
        <d v="2019-09-27T00:00:00"/>
        <d v="2019-10-14T00:00:00"/>
        <d v="2019-10-31T00:00:00"/>
        <d v="2019-11-17T00:00:00"/>
        <d v="2019-12-04T00:00:00"/>
        <d v="2019-12-21T00:00:00"/>
      </sharedItems>
      <fieldGroup par="3" base="0">
        <rangePr groupBy="months" startDate="2018-01-06T00:00:00" endDate="2019-12-22T00:00:00"/>
        <groupItems count="14">
          <s v="&lt;1/6/2018"/>
          <s v="Jan"/>
          <s v="Feb"/>
          <s v="Mar"/>
          <s v="Apr"/>
          <s v="May"/>
          <s v="Jun"/>
          <s v="Jul"/>
          <s v="Aug"/>
          <s v="Sep"/>
          <s v="Oct"/>
          <s v="Nov"/>
          <s v="Dec"/>
          <s v="&gt;12/22/2019"/>
        </groupItems>
      </fieldGroup>
    </cacheField>
    <cacheField name="Total Sale_price" numFmtId="43">
      <sharedItems containsSemiMixedTypes="0" containsString="0" containsNumber="1" minValue="250" maxValue="113810"/>
    </cacheField>
    <cacheField name="Quarters" numFmtId="0" databaseField="0">
      <fieldGroup base="0">
        <rangePr groupBy="quarters" startDate="2018-01-06T00:00:00" endDate="2019-12-22T00:00:00"/>
        <groupItems count="6">
          <s v="&lt;1/6/2018"/>
          <s v="Qtr1"/>
          <s v="Qtr2"/>
          <s v="Qtr3"/>
          <s v="Qtr4"/>
          <s v="&gt;12/22/2019"/>
        </groupItems>
      </fieldGroup>
    </cacheField>
    <cacheField name="Years" numFmtId="0" databaseField="0">
      <fieldGroup base="0">
        <rangePr groupBy="years" startDate="2018-01-06T00:00:00" endDate="2019-12-22T00:00:00"/>
        <groupItems count="4">
          <s v="&lt;1/6/2018"/>
          <s v="2018"/>
          <s v="2019"/>
          <s v="&gt;12/22/2019"/>
        </groupItems>
      </fieldGroup>
    </cacheField>
  </cacheFields>
  <extLst>
    <ext xmlns:x14="http://schemas.microsoft.com/office/spreadsheetml/2009/9/main" uri="{725AE2AE-9491-48be-B2B4-4EB974FC3084}">
      <x14:pivotCacheDefinition pivotCacheId="3204466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69.060607060186" createdVersion="6" refreshedVersion="6" minRefreshableVersion="3" recordCount="43" xr:uid="{11903D61-C1CA-4998-AF3D-6AF6B311607A}">
  <cacheSource type="worksheet">
    <worksheetSource ref="A1:B44" sheet=".xlsm]Area Wise Total Sales" r:id="rId2"/>
  </cacheSource>
  <cacheFields count="2">
    <cacheField name="Area" numFmtId="0">
      <sharedItems count="5">
        <s v="Barishal"/>
        <s v="Chittagong"/>
        <s v="Dhaka"/>
        <s v="Khulna"/>
        <s v="Mymensingh"/>
      </sharedItems>
    </cacheField>
    <cacheField name="Total Sale_price" numFmtId="43">
      <sharedItems containsSemiMixedTypes="0" containsString="0" containsNumber="1" minValue="250" maxValue="113810"/>
    </cacheField>
  </cacheFields>
  <extLst>
    <ext xmlns:x14="http://schemas.microsoft.com/office/spreadsheetml/2009/9/main" uri="{725AE2AE-9491-48be-B2B4-4EB974FC3084}">
      <x14:pivotCacheDefinition pivotCacheId="76194524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69.07421770833" createdVersion="6" refreshedVersion="6" minRefreshableVersion="3" recordCount="43" xr:uid="{B4DA0AA3-06F3-4867-80A8-5E9FB34FE149}">
  <cacheSource type="worksheet">
    <worksheetSource ref="A1:B44" sheet=".xlsm]Product Wise Total Sales " r:id="rId2"/>
  </cacheSource>
  <cacheFields count="2">
    <cacheField name="Product Name" numFmtId="0">
      <sharedItems count="5">
        <s v="Television"/>
        <s v="Home Theater"/>
        <s v="Cell Phone"/>
        <s v="Desk"/>
        <s v="Video Games"/>
      </sharedItems>
    </cacheField>
    <cacheField name="Total Sale_price" numFmtId="43">
      <sharedItems containsSemiMixedTypes="0" containsString="0" containsNumber="1" minValue="250" maxValue="113810" count="40">
        <n v="113810"/>
        <n v="25000"/>
        <n v="43128"/>
        <n v="6075"/>
        <n v="67088"/>
        <n v="30000"/>
        <n v="89850"/>
        <n v="107820"/>
        <n v="38336"/>
        <n v="14500"/>
        <n v="40500"/>
        <n v="41930"/>
        <n v="250"/>
        <n v="936"/>
        <n v="14000"/>
        <n v="14400"/>
        <n v="3375"/>
        <n v="5616"/>
        <n v="80266"/>
        <n v="4329"/>
        <n v="23000"/>
        <n v="43500"/>
        <n v="2000"/>
        <n v="3500"/>
        <n v="29000"/>
        <n v="79068"/>
        <n v="21600"/>
        <n v="63494"/>
        <n v="40000"/>
        <n v="625"/>
        <n v="3627"/>
        <n v="3217.5"/>
        <n v="2457"/>
        <n v="375"/>
        <n v="8386"/>
        <n v="17100"/>
        <n v="28500"/>
        <n v="16772"/>
        <n v="5500"/>
        <n v="47000"/>
      </sharedItems>
    </cacheField>
  </cacheFields>
  <extLst>
    <ext xmlns:x14="http://schemas.microsoft.com/office/spreadsheetml/2009/9/main" uri="{725AE2AE-9491-48be-B2B4-4EB974FC3084}">
      <x14:pivotCacheDefinition pivotCacheId="17354139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113810"/>
  </r>
  <r>
    <x v="1"/>
    <n v="25000"/>
  </r>
  <r>
    <x v="2"/>
    <n v="43128"/>
  </r>
  <r>
    <x v="3"/>
    <n v="6075"/>
  </r>
  <r>
    <x v="4"/>
    <n v="67088"/>
  </r>
  <r>
    <x v="5"/>
    <n v="30000"/>
  </r>
  <r>
    <x v="6"/>
    <n v="89850"/>
  </r>
  <r>
    <x v="7"/>
    <n v="107820"/>
  </r>
  <r>
    <x v="8"/>
    <n v="38336"/>
  </r>
  <r>
    <x v="9"/>
    <n v="30000"/>
  </r>
  <r>
    <x v="10"/>
    <n v="107820"/>
  </r>
  <r>
    <x v="11"/>
    <n v="14500"/>
  </r>
  <r>
    <x v="12"/>
    <n v="40500"/>
  </r>
  <r>
    <x v="13"/>
    <n v="41930"/>
  </r>
  <r>
    <x v="14"/>
    <n v="250"/>
  </r>
  <r>
    <x v="15"/>
    <n v="936"/>
  </r>
  <r>
    <x v="16"/>
    <n v="14000"/>
  </r>
  <r>
    <x v="17"/>
    <n v="14400"/>
  </r>
  <r>
    <x v="18"/>
    <n v="3375"/>
  </r>
  <r>
    <x v="19"/>
    <n v="5616"/>
  </r>
  <r>
    <x v="20"/>
    <n v="80266"/>
  </r>
  <r>
    <x v="21"/>
    <n v="4329"/>
  </r>
  <r>
    <x v="22"/>
    <n v="23000"/>
  </r>
  <r>
    <x v="23"/>
    <n v="43500"/>
  </r>
  <r>
    <x v="24"/>
    <n v="2000"/>
  </r>
  <r>
    <x v="25"/>
    <n v="3500"/>
  </r>
  <r>
    <x v="26"/>
    <n v="2925"/>
  </r>
  <r>
    <x v="27"/>
    <n v="79068"/>
  </r>
  <r>
    <x v="28"/>
    <n v="21600"/>
  </r>
  <r>
    <x v="29"/>
    <n v="63494"/>
  </r>
  <r>
    <x v="30"/>
    <n v="40000"/>
  </r>
  <r>
    <x v="31"/>
    <n v="625"/>
  </r>
  <r>
    <x v="32"/>
    <n v="3627"/>
  </r>
  <r>
    <x v="33"/>
    <n v="3217.5"/>
  </r>
  <r>
    <x v="34"/>
    <n v="2457"/>
  </r>
  <r>
    <x v="35"/>
    <n v="375"/>
  </r>
  <r>
    <x v="36"/>
    <n v="8386"/>
  </r>
  <r>
    <x v="37"/>
    <n v="17100"/>
  </r>
  <r>
    <x v="38"/>
    <n v="28500"/>
  </r>
  <r>
    <x v="39"/>
    <n v="16772"/>
  </r>
  <r>
    <x v="40"/>
    <n v="5500"/>
  </r>
  <r>
    <x v="41"/>
    <n v="47000"/>
  </r>
  <r>
    <x v="42"/>
    <n v="1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113810"/>
  </r>
  <r>
    <x v="1"/>
    <n v="25000"/>
  </r>
  <r>
    <x v="0"/>
    <n v="43128"/>
  </r>
  <r>
    <x v="1"/>
    <n v="6075"/>
  </r>
  <r>
    <x v="2"/>
    <n v="67088"/>
  </r>
  <r>
    <x v="2"/>
    <n v="30000"/>
  </r>
  <r>
    <x v="2"/>
    <n v="89850"/>
  </r>
  <r>
    <x v="2"/>
    <n v="107820"/>
  </r>
  <r>
    <x v="3"/>
    <n v="38336"/>
  </r>
  <r>
    <x v="2"/>
    <n v="30000"/>
  </r>
  <r>
    <x v="3"/>
    <n v="107820"/>
  </r>
  <r>
    <x v="2"/>
    <n v="14500"/>
  </r>
  <r>
    <x v="2"/>
    <n v="40500"/>
  </r>
  <r>
    <x v="1"/>
    <n v="41930"/>
  </r>
  <r>
    <x v="3"/>
    <n v="250"/>
  </r>
  <r>
    <x v="1"/>
    <n v="936"/>
  </r>
  <r>
    <x v="0"/>
    <n v="14000"/>
  </r>
  <r>
    <x v="2"/>
    <n v="14400"/>
  </r>
  <r>
    <x v="2"/>
    <n v="3375"/>
  </r>
  <r>
    <x v="1"/>
    <n v="5616"/>
  </r>
  <r>
    <x v="3"/>
    <n v="80266"/>
  </r>
  <r>
    <x v="3"/>
    <n v="4329"/>
  </r>
  <r>
    <x v="3"/>
    <n v="23000"/>
  </r>
  <r>
    <x v="3"/>
    <n v="43500"/>
  </r>
  <r>
    <x v="2"/>
    <n v="2000"/>
  </r>
  <r>
    <x v="3"/>
    <n v="3500"/>
  </r>
  <r>
    <x v="4"/>
    <n v="2925"/>
  </r>
  <r>
    <x v="2"/>
    <n v="79068"/>
  </r>
  <r>
    <x v="3"/>
    <n v="21600"/>
  </r>
  <r>
    <x v="1"/>
    <n v="63494"/>
  </r>
  <r>
    <x v="3"/>
    <n v="40000"/>
  </r>
  <r>
    <x v="2"/>
    <n v="625"/>
  </r>
  <r>
    <x v="0"/>
    <n v="3627"/>
  </r>
  <r>
    <x v="0"/>
    <n v="3217.5"/>
  </r>
  <r>
    <x v="0"/>
    <n v="2457"/>
  </r>
  <r>
    <x v="3"/>
    <n v="375"/>
  </r>
  <r>
    <x v="3"/>
    <n v="8386"/>
  </r>
  <r>
    <x v="1"/>
    <n v="17100"/>
  </r>
  <r>
    <x v="2"/>
    <n v="28500"/>
  </r>
  <r>
    <x v="3"/>
    <n v="16772"/>
  </r>
  <r>
    <x v="3"/>
    <n v="5500"/>
  </r>
  <r>
    <x v="3"/>
    <n v="47000"/>
  </r>
  <r>
    <x v="3"/>
    <n v="14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x v="0"/>
  </r>
  <r>
    <x v="1"/>
    <x v="1"/>
  </r>
  <r>
    <x v="0"/>
    <x v="2"/>
  </r>
  <r>
    <x v="2"/>
    <x v="3"/>
  </r>
  <r>
    <x v="0"/>
    <x v="4"/>
  </r>
  <r>
    <x v="1"/>
    <x v="5"/>
  </r>
  <r>
    <x v="0"/>
    <x v="6"/>
  </r>
  <r>
    <x v="0"/>
    <x v="7"/>
  </r>
  <r>
    <x v="0"/>
    <x v="8"/>
  </r>
  <r>
    <x v="1"/>
    <x v="5"/>
  </r>
  <r>
    <x v="0"/>
    <x v="7"/>
  </r>
  <r>
    <x v="1"/>
    <x v="9"/>
  </r>
  <r>
    <x v="1"/>
    <x v="10"/>
  </r>
  <r>
    <x v="0"/>
    <x v="11"/>
  </r>
  <r>
    <x v="3"/>
    <x v="12"/>
  </r>
  <r>
    <x v="4"/>
    <x v="13"/>
  </r>
  <r>
    <x v="1"/>
    <x v="14"/>
  </r>
  <r>
    <x v="2"/>
    <x v="15"/>
  </r>
  <r>
    <x v="2"/>
    <x v="16"/>
  </r>
  <r>
    <x v="4"/>
    <x v="17"/>
  </r>
  <r>
    <x v="0"/>
    <x v="18"/>
  </r>
  <r>
    <x v="4"/>
    <x v="19"/>
  </r>
  <r>
    <x v="1"/>
    <x v="20"/>
  </r>
  <r>
    <x v="1"/>
    <x v="21"/>
  </r>
  <r>
    <x v="1"/>
    <x v="22"/>
  </r>
  <r>
    <x v="1"/>
    <x v="23"/>
  </r>
  <r>
    <x v="4"/>
    <x v="24"/>
  </r>
  <r>
    <x v="0"/>
    <x v="25"/>
  </r>
  <r>
    <x v="2"/>
    <x v="26"/>
  </r>
  <r>
    <x v="0"/>
    <x v="27"/>
  </r>
  <r>
    <x v="1"/>
    <x v="28"/>
  </r>
  <r>
    <x v="3"/>
    <x v="29"/>
  </r>
  <r>
    <x v="4"/>
    <x v="30"/>
  </r>
  <r>
    <x v="4"/>
    <x v="31"/>
  </r>
  <r>
    <x v="4"/>
    <x v="32"/>
  </r>
  <r>
    <x v="3"/>
    <x v="33"/>
  </r>
  <r>
    <x v="0"/>
    <x v="34"/>
  </r>
  <r>
    <x v="2"/>
    <x v="35"/>
  </r>
  <r>
    <x v="1"/>
    <x v="36"/>
  </r>
  <r>
    <x v="0"/>
    <x v="37"/>
  </r>
  <r>
    <x v="1"/>
    <x v="38"/>
  </r>
  <r>
    <x v="1"/>
    <x v="39"/>
  </r>
  <r>
    <x v="1"/>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F104F4-51AD-4C66-9DD0-B3F9DFD63255}" name="PivotTable2" cacheId="0" applyNumberFormats="0" applyBorderFormats="0" applyFontFormats="0" applyPatternFormats="0" applyAlignmentFormats="0" applyWidthHeightFormats="1" dataCaption="Values" grandTotalCaption="Total Sele_price" updatedVersion="6" minRefreshableVersion="3" useAutoFormatting="1" itemPrintTitles="1" createdVersion="6" indent="0" outline="1" outlineData="1" multipleFieldFilters="0" chartFormat="3">
  <location ref="E3:F16" firstHeaderRow="1" firstDataRow="1" firstDataCol="1"/>
  <pivotFields count="4">
    <pivotField axis="axisRow" numFmtId="164" showAll="0">
      <items count="15">
        <item h="1" x="0"/>
        <item x="1"/>
        <item x="2"/>
        <item x="3"/>
        <item x="4"/>
        <item x="5"/>
        <item x="6"/>
        <item x="7"/>
        <item x="8"/>
        <item x="9"/>
        <item x="10"/>
        <item x="11"/>
        <item x="12"/>
        <item h="1" x="13"/>
        <item t="default"/>
      </items>
    </pivotField>
    <pivotField dataField="1" numFmtId="43"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Total Sale_price" fld="1" baseField="0" baseItem="0"/>
  </dataFields>
  <formats count="12">
    <format dxfId="35">
      <pivotArea type="all" dataOnly="0" outline="0" fieldPosition="0"/>
    </format>
    <format dxfId="34">
      <pivotArea outline="0" collapsedLevelsAreSubtotals="1" fieldPosition="0"/>
    </format>
    <format dxfId="33">
      <pivotArea field="0" type="button" dataOnly="0" labelOnly="1" outline="0" axis="axisRow" fieldPosition="0"/>
    </format>
    <format dxfId="32">
      <pivotArea dataOnly="0" labelOnly="1" fieldPosition="0">
        <references count="1">
          <reference field="0" count="0"/>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737E3C-EE7D-479A-994C-76D10A0F16ED}" name="PivotTable3" cacheId="1" applyNumberFormats="0" applyBorderFormats="0" applyFontFormats="0" applyPatternFormats="0" applyAlignmentFormats="0" applyWidthHeightFormats="1" dataCaption="Values" grandTotalCaption="Total Sale price" updatedVersion="6" minRefreshableVersion="3" useAutoFormatting="1" itemPrintTitles="1" createdVersion="6" indent="0" outline="1" outlineData="1" multipleFieldFilters="0" chartFormat="8">
  <location ref="D4:E10" firstHeaderRow="1" firstDataRow="1" firstDataCol="1"/>
  <pivotFields count="2">
    <pivotField axis="axisRow" showAll="0">
      <items count="6">
        <item x="0"/>
        <item x="1"/>
        <item x="2"/>
        <item x="3"/>
        <item x="4"/>
        <item t="default"/>
      </items>
    </pivotField>
    <pivotField dataField="1" numFmtId="43" showAll="0"/>
  </pivotFields>
  <rowFields count="1">
    <field x="0"/>
  </rowFields>
  <rowItems count="6">
    <i>
      <x/>
    </i>
    <i>
      <x v="1"/>
    </i>
    <i>
      <x v="2"/>
    </i>
    <i>
      <x v="3"/>
    </i>
    <i>
      <x v="4"/>
    </i>
    <i t="grand">
      <x/>
    </i>
  </rowItems>
  <colItems count="1">
    <i/>
  </colItems>
  <dataFields count="1">
    <dataField name="Sum of Total Sale_price" fld="1" baseField="0" baseItem="0"/>
  </dataFields>
  <formats count="24">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dataOnly="0" labelOnly="1" fieldPosition="0">
        <references count="1">
          <reference field="0"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0" type="button" dataOnly="0" labelOnly="1" outline="0" axis="axisRow" fieldPosition="0"/>
    </format>
    <format dxfId="14">
      <pivotArea dataOnly="0" labelOnly="1" fieldPosition="0">
        <references count="1">
          <reference field="0" count="0"/>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 chart="1" format="1" series="1">
      <pivotArea type="data" outline="0" fieldPosition="0">
        <references count="1">
          <reference field="4294967294" count="1" selected="0">
            <x v="0"/>
          </reference>
        </references>
      </pivotArea>
    </chartFormat>
    <chartFormat chart="5" format="17" series="1">
      <pivotArea type="data" outline="0" fieldPosition="0">
        <references count="1">
          <reference field="4294967294" count="1" selected="0">
            <x v="0"/>
          </reference>
        </references>
      </pivotArea>
    </chartFormat>
    <chartFormat chart="5" format="18">
      <pivotArea type="data" outline="0" fieldPosition="0">
        <references count="2">
          <reference field="4294967294" count="1" selected="0">
            <x v="0"/>
          </reference>
          <reference field="0" count="1" selected="0">
            <x v="0"/>
          </reference>
        </references>
      </pivotArea>
    </chartFormat>
    <chartFormat chart="5" format="19">
      <pivotArea type="data" outline="0" fieldPosition="0">
        <references count="2">
          <reference field="4294967294" count="1" selected="0">
            <x v="0"/>
          </reference>
          <reference field="0" count="1" selected="0">
            <x v="1"/>
          </reference>
        </references>
      </pivotArea>
    </chartFormat>
    <chartFormat chart="5" format="20">
      <pivotArea type="data" outline="0" fieldPosition="0">
        <references count="2">
          <reference field="4294967294" count="1" selected="0">
            <x v="0"/>
          </reference>
          <reference field="0" count="1" selected="0">
            <x v="2"/>
          </reference>
        </references>
      </pivotArea>
    </chartFormat>
    <chartFormat chart="5" format="21">
      <pivotArea type="data" outline="0" fieldPosition="0">
        <references count="2">
          <reference field="4294967294" count="1" selected="0">
            <x v="0"/>
          </reference>
          <reference field="0" count="1" selected="0">
            <x v="3"/>
          </reference>
        </references>
      </pivotArea>
    </chartFormat>
    <chartFormat chart="5" format="22">
      <pivotArea type="data" outline="0" fieldPosition="0">
        <references count="2">
          <reference field="4294967294" count="1" selected="0">
            <x v="0"/>
          </reference>
          <reference field="0" count="1" selected="0">
            <x v="4"/>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8ADF78-D46D-474D-A0A1-E020ED6B2695}"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9" firstHeaderRow="1" firstDataRow="1" firstDataCol="0"/>
  <pivotFields count="2">
    <pivotField showAll="0"/>
    <pivotField numFmtId="43"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FD1C92-8464-41AA-9C7F-2F6E2B62CC12}" name="PivotTable5" cacheId="2" applyNumberFormats="0" applyBorderFormats="0" applyFontFormats="0" applyPatternFormats="0" applyAlignmentFormats="0" applyWidthHeightFormats="1" dataCaption="Values" grandTotalCaption="Total Sales Price" updatedVersion="6" minRefreshableVersion="3" useAutoFormatting="1" itemPrintTitles="1" createdVersion="6" indent="0" outline="1" outlineData="1" multipleFieldFilters="0" chartFormat="3">
  <location ref="E4:F10" firstHeaderRow="1" firstDataRow="1" firstDataCol="1"/>
  <pivotFields count="2">
    <pivotField axis="axisRow" showAll="0">
      <items count="6">
        <item x="2"/>
        <item x="3"/>
        <item x="1"/>
        <item x="0"/>
        <item x="4"/>
        <item t="default"/>
      </items>
    </pivotField>
    <pivotField dataField="1" numFmtId="43" showAll="0"/>
  </pivotFields>
  <rowFields count="1">
    <field x="0"/>
  </rowFields>
  <rowItems count="6">
    <i>
      <x/>
    </i>
    <i>
      <x v="1"/>
    </i>
    <i>
      <x v="2"/>
    </i>
    <i>
      <x v="3"/>
    </i>
    <i>
      <x v="4"/>
    </i>
    <i t="grand">
      <x/>
    </i>
  </rowItems>
  <colItems count="1">
    <i/>
  </colItems>
  <dataFields count="1">
    <dataField name="Sum of Total Sale_price" fld="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825B9204-7577-4F08-9E5C-1989384014F3}" sourceName="Product Name">
  <pivotTables>
    <pivotTable tabId="18" name="PivotTable5"/>
  </pivotTables>
  <data>
    <tabular pivotCacheId="1735413989">
      <items count="5">
        <i x="2" s="1"/>
        <i x="3"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Time" xr10:uid="{D8C00BAD-B5FD-4599-A68A-F10DC5D2448E}" sourceName="Date/Time">
  <pivotTables>
    <pivotTable tabId="15" name="PivotTable2"/>
  </pivotTables>
  <data>
    <tabular pivotCacheId="320446607">
      <items count="14">
        <i x="1" s="1"/>
        <i x="2" s="1"/>
        <i x="3" s="1"/>
        <i x="4" s="1"/>
        <i x="5" s="1"/>
        <i x="6" s="1"/>
        <i x="7" s="1"/>
        <i x="8" s="1"/>
        <i x="9" s="1"/>
        <i x="10" s="1"/>
        <i x="11" s="1"/>
        <i x="12" s="1"/>
        <i x="0" nd="1"/>
        <i x="1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3D4C9094-C989-46BA-8586-8D009439DC50}" sourceName="Area">
  <pivotTables>
    <pivotTable tabId="16" name="PivotTable3"/>
  </pivotTables>
  <data>
    <tabular pivotCacheId="761945244">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Time" xr10:uid="{24327658-3218-4577-887D-4122119442AE}" cache="Slicer_Date_Time" caption="Date/Ti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17F90625-184F-49DE-B322-61AA68B0F548}" cache="Slicer_Area" caption="Are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C2253918-70A5-498C-B0C2-3B3BE6D06BF3}" cache="Slicer_Product_Name" caption="Product Name"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1" xr10:uid="{7F5EE31A-72F7-45BD-A408-C81B27C49C4D}" cache="Slicer_Product_Name" caption="Product Name" rowHeight="234950"/>
  <slicer name="Date/Time 1" xr10:uid="{E1BDAD69-82EA-475F-AA34-8EC027DEE201}" cache="Slicer_Date_Time" caption="Date/Time" rowHeight="234950"/>
  <slicer name="Area 1" xr10:uid="{0B2221EE-6452-435C-B7D1-D7736B3D3A9A}" cache="Slicer_Area" caption="Area"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51"/>
  <sheetViews>
    <sheetView tabSelected="1" topLeftCell="A23" workbookViewId="0">
      <selection activeCell="C1" sqref="C1:C44"/>
    </sheetView>
  </sheetViews>
  <sheetFormatPr defaultColWidth="9.140625" defaultRowHeight="15" x14ac:dyDescent="0.25"/>
  <cols>
    <col min="1" max="2" width="11.7109375" style="1" customWidth="1"/>
    <col min="3" max="3" width="15.28515625" style="3" customWidth="1"/>
    <col min="4" max="4" width="8.85546875" style="2" customWidth="1"/>
    <col min="5" max="5" width="12.85546875" style="1" customWidth="1"/>
    <col min="6" max="6" width="17.7109375" style="1" customWidth="1"/>
    <col min="7" max="7" width="12.140625" style="1" customWidth="1"/>
    <col min="8" max="8" width="14.5703125" style="1" customWidth="1"/>
    <col min="9" max="16384" width="9.140625" style="1"/>
  </cols>
  <sheetData>
    <row r="1" spans="1:6" ht="15.75" x14ac:dyDescent="0.25">
      <c r="A1" s="12" t="s">
        <v>15</v>
      </c>
      <c r="B1" s="12" t="s">
        <v>7</v>
      </c>
      <c r="C1" s="12" t="s">
        <v>13</v>
      </c>
      <c r="D1" s="12" t="s">
        <v>0</v>
      </c>
      <c r="E1" s="13" t="s">
        <v>5</v>
      </c>
      <c r="F1" s="12" t="s">
        <v>14</v>
      </c>
    </row>
    <row r="2" spans="1:6" x14ac:dyDescent="0.25">
      <c r="A2" s="9">
        <v>43106</v>
      </c>
      <c r="B2" s="6" t="s">
        <v>8</v>
      </c>
      <c r="C2" s="10" t="s">
        <v>2</v>
      </c>
      <c r="D2" s="10">
        <v>95</v>
      </c>
      <c r="E2" s="8">
        <v>1198</v>
      </c>
      <c r="F2" s="11">
        <f>D2*E2</f>
        <v>113810</v>
      </c>
    </row>
    <row r="3" spans="1:6" x14ac:dyDescent="0.25">
      <c r="A3" s="9">
        <v>43123</v>
      </c>
      <c r="B3" s="7" t="s">
        <v>9</v>
      </c>
      <c r="C3" s="10" t="s">
        <v>6</v>
      </c>
      <c r="D3" s="10">
        <v>50</v>
      </c>
      <c r="E3" s="8">
        <v>500</v>
      </c>
      <c r="F3" s="11">
        <f t="shared" ref="F3:F44" si="0">D3*E3</f>
        <v>25000</v>
      </c>
    </row>
    <row r="4" spans="1:6" x14ac:dyDescent="0.25">
      <c r="A4" s="9">
        <v>43140</v>
      </c>
      <c r="B4" s="6" t="s">
        <v>8</v>
      </c>
      <c r="C4" s="10" t="s">
        <v>2</v>
      </c>
      <c r="D4" s="10">
        <v>36</v>
      </c>
      <c r="E4" s="8">
        <v>1198</v>
      </c>
      <c r="F4" s="11">
        <f t="shared" si="0"/>
        <v>43128</v>
      </c>
    </row>
    <row r="5" spans="1:6" x14ac:dyDescent="0.25">
      <c r="A5" s="9">
        <v>43157</v>
      </c>
      <c r="B5" s="7" t="s">
        <v>9</v>
      </c>
      <c r="C5" s="10" t="s">
        <v>3</v>
      </c>
      <c r="D5" s="10">
        <v>27</v>
      </c>
      <c r="E5" s="8">
        <v>225</v>
      </c>
      <c r="F5" s="11">
        <f t="shared" si="0"/>
        <v>6075</v>
      </c>
    </row>
    <row r="6" spans="1:6" x14ac:dyDescent="0.25">
      <c r="A6" s="9">
        <v>43174</v>
      </c>
      <c r="B6" s="6" t="s">
        <v>10</v>
      </c>
      <c r="C6" s="10" t="s">
        <v>2</v>
      </c>
      <c r="D6" s="10">
        <v>56</v>
      </c>
      <c r="E6" s="8">
        <v>1198</v>
      </c>
      <c r="F6" s="11">
        <f t="shared" si="0"/>
        <v>67088</v>
      </c>
    </row>
    <row r="7" spans="1:6" x14ac:dyDescent="0.25">
      <c r="A7" s="9">
        <v>43191</v>
      </c>
      <c r="B7" s="6" t="s">
        <v>10</v>
      </c>
      <c r="C7" s="10" t="s">
        <v>6</v>
      </c>
      <c r="D7" s="10">
        <v>60</v>
      </c>
      <c r="E7" s="8">
        <v>500</v>
      </c>
      <c r="F7" s="11">
        <f t="shared" si="0"/>
        <v>30000</v>
      </c>
    </row>
    <row r="8" spans="1:6" x14ac:dyDescent="0.25">
      <c r="A8" s="9">
        <v>43208</v>
      </c>
      <c r="B8" s="6" t="s">
        <v>10</v>
      </c>
      <c r="C8" s="10" t="s">
        <v>2</v>
      </c>
      <c r="D8" s="10">
        <v>75</v>
      </c>
      <c r="E8" s="8">
        <v>1198</v>
      </c>
      <c r="F8" s="11">
        <f t="shared" si="0"/>
        <v>89850</v>
      </c>
    </row>
    <row r="9" spans="1:6" x14ac:dyDescent="0.25">
      <c r="A9" s="9">
        <v>43225</v>
      </c>
      <c r="B9" s="7" t="s">
        <v>10</v>
      </c>
      <c r="C9" s="10" t="s">
        <v>2</v>
      </c>
      <c r="D9" s="10">
        <v>90</v>
      </c>
      <c r="E9" s="8">
        <v>1198</v>
      </c>
      <c r="F9" s="11">
        <f t="shared" si="0"/>
        <v>107820</v>
      </c>
    </row>
    <row r="10" spans="1:6" x14ac:dyDescent="0.25">
      <c r="A10" s="9">
        <v>43242</v>
      </c>
      <c r="B10" s="6" t="s">
        <v>11</v>
      </c>
      <c r="C10" s="10" t="s">
        <v>2</v>
      </c>
      <c r="D10" s="10">
        <v>32</v>
      </c>
      <c r="E10" s="8">
        <v>1198</v>
      </c>
      <c r="F10" s="11">
        <f t="shared" si="0"/>
        <v>38336</v>
      </c>
    </row>
    <row r="11" spans="1:6" x14ac:dyDescent="0.25">
      <c r="A11" s="9">
        <v>43259</v>
      </c>
      <c r="B11" s="7" t="s">
        <v>10</v>
      </c>
      <c r="C11" s="10" t="s">
        <v>6</v>
      </c>
      <c r="D11" s="10">
        <v>60</v>
      </c>
      <c r="E11" s="8">
        <v>500</v>
      </c>
      <c r="F11" s="11">
        <f t="shared" si="0"/>
        <v>30000</v>
      </c>
    </row>
    <row r="12" spans="1:6" x14ac:dyDescent="0.25">
      <c r="A12" s="9">
        <v>43276</v>
      </c>
      <c r="B12" s="6" t="s">
        <v>11</v>
      </c>
      <c r="C12" s="10" t="s">
        <v>2</v>
      </c>
      <c r="D12" s="10">
        <v>90</v>
      </c>
      <c r="E12" s="8">
        <v>1198</v>
      </c>
      <c r="F12" s="11">
        <f t="shared" si="0"/>
        <v>107820</v>
      </c>
    </row>
    <row r="13" spans="1:6" x14ac:dyDescent="0.25">
      <c r="A13" s="9">
        <v>43293</v>
      </c>
      <c r="B13" s="6" t="s">
        <v>10</v>
      </c>
      <c r="C13" s="10" t="s">
        <v>6</v>
      </c>
      <c r="D13" s="10">
        <v>29</v>
      </c>
      <c r="E13" s="8">
        <v>500</v>
      </c>
      <c r="F13" s="11">
        <f t="shared" si="0"/>
        <v>14500</v>
      </c>
    </row>
    <row r="14" spans="1:6" x14ac:dyDescent="0.25">
      <c r="A14" s="9">
        <v>43310</v>
      </c>
      <c r="B14" s="6" t="s">
        <v>10</v>
      </c>
      <c r="C14" s="10" t="s">
        <v>6</v>
      </c>
      <c r="D14" s="10">
        <v>81</v>
      </c>
      <c r="E14" s="8">
        <v>500</v>
      </c>
      <c r="F14" s="11">
        <f t="shared" si="0"/>
        <v>40500</v>
      </c>
    </row>
    <row r="15" spans="1:6" x14ac:dyDescent="0.25">
      <c r="A15" s="9">
        <v>43327</v>
      </c>
      <c r="B15" s="7" t="s">
        <v>9</v>
      </c>
      <c r="C15" s="10" t="s">
        <v>2</v>
      </c>
      <c r="D15" s="10">
        <v>35</v>
      </c>
      <c r="E15" s="8">
        <v>1198</v>
      </c>
      <c r="F15" s="11">
        <f t="shared" si="0"/>
        <v>41930</v>
      </c>
    </row>
    <row r="16" spans="1:6" x14ac:dyDescent="0.25">
      <c r="A16" s="9">
        <v>43344</v>
      </c>
      <c r="B16" s="6" t="s">
        <v>11</v>
      </c>
      <c r="C16" s="10" t="s">
        <v>1</v>
      </c>
      <c r="D16" s="10">
        <v>2</v>
      </c>
      <c r="E16" s="8">
        <v>125</v>
      </c>
      <c r="F16" s="11">
        <f t="shared" si="0"/>
        <v>250</v>
      </c>
    </row>
    <row r="17" spans="1:6" x14ac:dyDescent="0.25">
      <c r="A17" s="9">
        <v>43361</v>
      </c>
      <c r="B17" s="7" t="s">
        <v>9</v>
      </c>
      <c r="C17" s="10" t="s">
        <v>4</v>
      </c>
      <c r="D17" s="10">
        <v>16</v>
      </c>
      <c r="E17" s="8">
        <v>58.5</v>
      </c>
      <c r="F17" s="11">
        <f t="shared" si="0"/>
        <v>936</v>
      </c>
    </row>
    <row r="18" spans="1:6" x14ac:dyDescent="0.25">
      <c r="A18" s="9">
        <v>43378</v>
      </c>
      <c r="B18" s="6" t="s">
        <v>8</v>
      </c>
      <c r="C18" s="10" t="s">
        <v>6</v>
      </c>
      <c r="D18" s="10">
        <v>28</v>
      </c>
      <c r="E18" s="8">
        <v>500</v>
      </c>
      <c r="F18" s="11">
        <f t="shared" si="0"/>
        <v>14000</v>
      </c>
    </row>
    <row r="19" spans="1:6" x14ac:dyDescent="0.25">
      <c r="A19" s="9">
        <v>43395</v>
      </c>
      <c r="B19" s="7" t="s">
        <v>10</v>
      </c>
      <c r="C19" s="10" t="s">
        <v>3</v>
      </c>
      <c r="D19" s="10">
        <v>64</v>
      </c>
      <c r="E19" s="8">
        <v>225</v>
      </c>
      <c r="F19" s="11">
        <f t="shared" si="0"/>
        <v>14400</v>
      </c>
    </row>
    <row r="20" spans="1:6" x14ac:dyDescent="0.25">
      <c r="A20" s="9">
        <v>43412</v>
      </c>
      <c r="B20" s="6" t="s">
        <v>10</v>
      </c>
      <c r="C20" s="10" t="s">
        <v>3</v>
      </c>
      <c r="D20" s="10">
        <v>15</v>
      </c>
      <c r="E20" s="8">
        <v>225</v>
      </c>
      <c r="F20" s="11">
        <f t="shared" si="0"/>
        <v>3375</v>
      </c>
    </row>
    <row r="21" spans="1:6" x14ac:dyDescent="0.25">
      <c r="A21" s="9">
        <v>43429</v>
      </c>
      <c r="B21" s="7" t="s">
        <v>9</v>
      </c>
      <c r="C21" s="10" t="s">
        <v>4</v>
      </c>
      <c r="D21" s="10">
        <v>96</v>
      </c>
      <c r="E21" s="8">
        <v>58.5</v>
      </c>
      <c r="F21" s="11">
        <f t="shared" si="0"/>
        <v>5616</v>
      </c>
    </row>
    <row r="22" spans="1:6" x14ac:dyDescent="0.25">
      <c r="A22" s="9">
        <v>43446</v>
      </c>
      <c r="B22" s="6" t="s">
        <v>11</v>
      </c>
      <c r="C22" s="10" t="s">
        <v>2</v>
      </c>
      <c r="D22" s="10">
        <v>67</v>
      </c>
      <c r="E22" s="8">
        <v>1198</v>
      </c>
      <c r="F22" s="11">
        <f t="shared" si="0"/>
        <v>80266</v>
      </c>
    </row>
    <row r="23" spans="1:6" x14ac:dyDescent="0.25">
      <c r="A23" s="9">
        <v>43463</v>
      </c>
      <c r="B23" s="6" t="s">
        <v>11</v>
      </c>
      <c r="C23" s="10" t="s">
        <v>4</v>
      </c>
      <c r="D23" s="10">
        <v>74</v>
      </c>
      <c r="E23" s="8">
        <v>58.5</v>
      </c>
      <c r="F23" s="11">
        <f t="shared" si="0"/>
        <v>4329</v>
      </c>
    </row>
    <row r="24" spans="1:6" x14ac:dyDescent="0.25">
      <c r="A24" s="9">
        <v>43480</v>
      </c>
      <c r="B24" s="6" t="s">
        <v>11</v>
      </c>
      <c r="C24" s="10" t="s">
        <v>6</v>
      </c>
      <c r="D24" s="10">
        <v>46</v>
      </c>
      <c r="E24" s="8">
        <v>500</v>
      </c>
      <c r="F24" s="11">
        <f t="shared" si="0"/>
        <v>23000</v>
      </c>
    </row>
    <row r="25" spans="1:6" x14ac:dyDescent="0.25">
      <c r="A25" s="9">
        <v>43497</v>
      </c>
      <c r="B25" s="6" t="s">
        <v>11</v>
      </c>
      <c r="C25" s="10" t="s">
        <v>6</v>
      </c>
      <c r="D25" s="10">
        <v>87</v>
      </c>
      <c r="E25" s="8">
        <v>500</v>
      </c>
      <c r="F25" s="11">
        <f t="shared" si="0"/>
        <v>43500</v>
      </c>
    </row>
    <row r="26" spans="1:6" x14ac:dyDescent="0.25">
      <c r="A26" s="9">
        <v>43514</v>
      </c>
      <c r="B26" s="6" t="s">
        <v>10</v>
      </c>
      <c r="C26" s="10" t="s">
        <v>6</v>
      </c>
      <c r="D26" s="10">
        <v>4</v>
      </c>
      <c r="E26" s="8">
        <v>500</v>
      </c>
      <c r="F26" s="11">
        <f t="shared" si="0"/>
        <v>2000</v>
      </c>
    </row>
    <row r="27" spans="1:6" x14ac:dyDescent="0.25">
      <c r="A27" s="9">
        <v>43531</v>
      </c>
      <c r="B27" s="7" t="s">
        <v>11</v>
      </c>
      <c r="C27" s="10" t="s">
        <v>6</v>
      </c>
      <c r="D27" s="10">
        <v>7</v>
      </c>
      <c r="E27" s="8">
        <v>500</v>
      </c>
      <c r="F27" s="11">
        <f t="shared" si="0"/>
        <v>3500</v>
      </c>
    </row>
    <row r="28" spans="1:6" x14ac:dyDescent="0.25">
      <c r="A28" s="9">
        <v>43548</v>
      </c>
      <c r="B28" s="6" t="s">
        <v>12</v>
      </c>
      <c r="C28" s="10" t="s">
        <v>4</v>
      </c>
      <c r="D28" s="10">
        <v>50</v>
      </c>
      <c r="E28" s="8">
        <v>580</v>
      </c>
      <c r="F28" s="11">
        <f t="shared" si="0"/>
        <v>29000</v>
      </c>
    </row>
    <row r="29" spans="1:6" x14ac:dyDescent="0.25">
      <c r="A29" s="9">
        <v>43565</v>
      </c>
      <c r="B29" s="7" t="s">
        <v>10</v>
      </c>
      <c r="C29" s="10" t="s">
        <v>2</v>
      </c>
      <c r="D29" s="10">
        <v>66</v>
      </c>
      <c r="E29" s="8">
        <v>1198</v>
      </c>
      <c r="F29" s="11">
        <f t="shared" si="0"/>
        <v>79068</v>
      </c>
    </row>
    <row r="30" spans="1:6" x14ac:dyDescent="0.25">
      <c r="A30" s="9">
        <v>43582</v>
      </c>
      <c r="B30" s="6" t="s">
        <v>11</v>
      </c>
      <c r="C30" s="10" t="s">
        <v>3</v>
      </c>
      <c r="D30" s="10">
        <v>96</v>
      </c>
      <c r="E30" s="8">
        <v>225</v>
      </c>
      <c r="F30" s="11">
        <f t="shared" si="0"/>
        <v>21600</v>
      </c>
    </row>
    <row r="31" spans="1:6" x14ac:dyDescent="0.25">
      <c r="A31" s="9">
        <v>43599</v>
      </c>
      <c r="B31" s="7" t="s">
        <v>9</v>
      </c>
      <c r="C31" s="10" t="s">
        <v>2</v>
      </c>
      <c r="D31" s="10">
        <v>53</v>
      </c>
      <c r="E31" s="8">
        <v>1198</v>
      </c>
      <c r="F31" s="11">
        <f t="shared" si="0"/>
        <v>63494</v>
      </c>
    </row>
    <row r="32" spans="1:6" x14ac:dyDescent="0.25">
      <c r="A32" s="9">
        <v>43616</v>
      </c>
      <c r="B32" s="6" t="s">
        <v>11</v>
      </c>
      <c r="C32" s="10" t="s">
        <v>6</v>
      </c>
      <c r="D32" s="10">
        <v>80</v>
      </c>
      <c r="E32" s="8">
        <v>500</v>
      </c>
      <c r="F32" s="11">
        <f t="shared" si="0"/>
        <v>40000</v>
      </c>
    </row>
    <row r="33" spans="1:6" x14ac:dyDescent="0.25">
      <c r="A33" s="9">
        <v>43633</v>
      </c>
      <c r="B33" s="6" t="s">
        <v>10</v>
      </c>
      <c r="C33" s="10" t="s">
        <v>1</v>
      </c>
      <c r="D33" s="10">
        <v>5</v>
      </c>
      <c r="E33" s="8">
        <v>125</v>
      </c>
      <c r="F33" s="11">
        <f t="shared" si="0"/>
        <v>625</v>
      </c>
    </row>
    <row r="34" spans="1:6" x14ac:dyDescent="0.25">
      <c r="A34" s="9">
        <v>43650</v>
      </c>
      <c r="B34" s="6" t="s">
        <v>8</v>
      </c>
      <c r="C34" s="10" t="s">
        <v>4</v>
      </c>
      <c r="D34" s="10">
        <v>62</v>
      </c>
      <c r="E34" s="8">
        <v>58.5</v>
      </c>
      <c r="F34" s="11">
        <f t="shared" si="0"/>
        <v>3627</v>
      </c>
    </row>
    <row r="35" spans="1:6" x14ac:dyDescent="0.25">
      <c r="A35" s="9">
        <v>43667</v>
      </c>
      <c r="B35" s="6" t="s">
        <v>8</v>
      </c>
      <c r="C35" s="10" t="s">
        <v>4</v>
      </c>
      <c r="D35" s="10">
        <v>55</v>
      </c>
      <c r="E35" s="8">
        <v>58.5</v>
      </c>
      <c r="F35" s="11">
        <f t="shared" si="0"/>
        <v>3217.5</v>
      </c>
    </row>
    <row r="36" spans="1:6" x14ac:dyDescent="0.25">
      <c r="A36" s="9">
        <v>43684</v>
      </c>
      <c r="B36" s="6" t="s">
        <v>8</v>
      </c>
      <c r="C36" s="10" t="s">
        <v>4</v>
      </c>
      <c r="D36" s="10">
        <v>42</v>
      </c>
      <c r="E36" s="8">
        <v>58.5</v>
      </c>
      <c r="F36" s="11">
        <f t="shared" si="0"/>
        <v>2457</v>
      </c>
    </row>
    <row r="37" spans="1:6" x14ac:dyDescent="0.25">
      <c r="A37" s="9">
        <v>43701</v>
      </c>
      <c r="B37" s="6" t="s">
        <v>11</v>
      </c>
      <c r="C37" s="10" t="s">
        <v>1</v>
      </c>
      <c r="D37" s="10">
        <v>3</v>
      </c>
      <c r="E37" s="8">
        <v>125</v>
      </c>
      <c r="F37" s="11">
        <f t="shared" si="0"/>
        <v>375</v>
      </c>
    </row>
    <row r="38" spans="1:6" x14ac:dyDescent="0.25">
      <c r="A38" s="9">
        <v>43718</v>
      </c>
      <c r="B38" s="6" t="s">
        <v>11</v>
      </c>
      <c r="C38" s="10" t="s">
        <v>2</v>
      </c>
      <c r="D38" s="10">
        <v>7</v>
      </c>
      <c r="E38" s="8">
        <v>1198</v>
      </c>
      <c r="F38" s="11">
        <f t="shared" si="0"/>
        <v>8386</v>
      </c>
    </row>
    <row r="39" spans="1:6" x14ac:dyDescent="0.25">
      <c r="A39" s="9">
        <v>43735</v>
      </c>
      <c r="B39" s="7" t="s">
        <v>9</v>
      </c>
      <c r="C39" s="10" t="s">
        <v>3</v>
      </c>
      <c r="D39" s="10">
        <v>76</v>
      </c>
      <c r="E39" s="8">
        <v>225</v>
      </c>
      <c r="F39" s="11">
        <f t="shared" si="0"/>
        <v>17100</v>
      </c>
    </row>
    <row r="40" spans="1:6" x14ac:dyDescent="0.25">
      <c r="A40" s="9">
        <v>43752</v>
      </c>
      <c r="B40" s="6" t="s">
        <v>10</v>
      </c>
      <c r="C40" s="10" t="s">
        <v>6</v>
      </c>
      <c r="D40" s="10">
        <v>57</v>
      </c>
      <c r="E40" s="8">
        <v>500</v>
      </c>
      <c r="F40" s="11">
        <f t="shared" si="0"/>
        <v>28500</v>
      </c>
    </row>
    <row r="41" spans="1:6" x14ac:dyDescent="0.25">
      <c r="A41" s="9">
        <v>43769</v>
      </c>
      <c r="B41" s="7" t="s">
        <v>11</v>
      </c>
      <c r="C41" s="10" t="s">
        <v>2</v>
      </c>
      <c r="D41" s="10">
        <v>14</v>
      </c>
      <c r="E41" s="8">
        <v>1198</v>
      </c>
      <c r="F41" s="11">
        <f t="shared" si="0"/>
        <v>16772</v>
      </c>
    </row>
    <row r="42" spans="1:6" x14ac:dyDescent="0.25">
      <c r="A42" s="9">
        <v>43786</v>
      </c>
      <c r="B42" s="6" t="s">
        <v>11</v>
      </c>
      <c r="C42" s="10" t="s">
        <v>6</v>
      </c>
      <c r="D42" s="10">
        <v>11</v>
      </c>
      <c r="E42" s="8">
        <v>500</v>
      </c>
      <c r="F42" s="11">
        <f t="shared" si="0"/>
        <v>5500</v>
      </c>
    </row>
    <row r="43" spans="1:6" x14ac:dyDescent="0.25">
      <c r="A43" s="9">
        <v>43803</v>
      </c>
      <c r="B43" s="7" t="s">
        <v>11</v>
      </c>
      <c r="C43" s="10" t="s">
        <v>6</v>
      </c>
      <c r="D43" s="10">
        <v>94</v>
      </c>
      <c r="E43" s="8">
        <v>500</v>
      </c>
      <c r="F43" s="11">
        <f t="shared" si="0"/>
        <v>47000</v>
      </c>
    </row>
    <row r="44" spans="1:6" x14ac:dyDescent="0.25">
      <c r="A44" s="9">
        <v>43820</v>
      </c>
      <c r="B44" s="6" t="s">
        <v>11</v>
      </c>
      <c r="C44" s="10" t="s">
        <v>6</v>
      </c>
      <c r="D44" s="10">
        <v>28</v>
      </c>
      <c r="E44" s="8">
        <v>500</v>
      </c>
      <c r="F44" s="11">
        <f t="shared" si="0"/>
        <v>14000</v>
      </c>
    </row>
    <row r="45" spans="1:6" x14ac:dyDescent="0.25">
      <c r="B45" s="3"/>
      <c r="C45" s="2"/>
      <c r="D45" s="1"/>
      <c r="E45" s="4"/>
      <c r="F45" s="4"/>
    </row>
    <row r="46" spans="1:6" x14ac:dyDescent="0.25">
      <c r="B46" s="3"/>
      <c r="C46" s="2"/>
      <c r="D46" s="1"/>
      <c r="E46" s="4"/>
      <c r="F46" s="4"/>
    </row>
    <row r="47" spans="1:6" x14ac:dyDescent="0.25">
      <c r="B47" s="3"/>
      <c r="C47" s="2"/>
      <c r="D47" s="1"/>
    </row>
    <row r="48" spans="1:6" x14ac:dyDescent="0.25">
      <c r="B48" s="3"/>
      <c r="C48" s="2"/>
      <c r="D48" s="1"/>
    </row>
    <row r="49" spans="2:4" x14ac:dyDescent="0.25">
      <c r="B49" s="3"/>
      <c r="C49" s="2"/>
      <c r="D49" s="1"/>
    </row>
    <row r="50" spans="2:4" x14ac:dyDescent="0.25">
      <c r="B50" s="3"/>
      <c r="C50" s="2"/>
      <c r="D50" s="1"/>
    </row>
    <row r="51" spans="2:4" x14ac:dyDescent="0.25">
      <c r="B5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50FB2-5E19-43E1-B9B8-3C0FA545B6D4}">
  <dimension ref="A1:F44"/>
  <sheetViews>
    <sheetView workbookViewId="0">
      <selection activeCell="E3" sqref="E3:F16"/>
    </sheetView>
  </sheetViews>
  <sheetFormatPr defaultRowHeight="15" x14ac:dyDescent="0.25"/>
  <cols>
    <col min="1" max="1" width="12" customWidth="1"/>
    <col min="2" max="2" width="20" customWidth="1"/>
    <col min="5" max="5" width="14.7109375" bestFit="1" customWidth="1"/>
    <col min="6" max="6" width="20.85546875" bestFit="1" customWidth="1"/>
  </cols>
  <sheetData>
    <row r="1" spans="1:6" ht="15.75" x14ac:dyDescent="0.25">
      <c r="A1" s="12" t="s">
        <v>15</v>
      </c>
      <c r="B1" s="12" t="s">
        <v>14</v>
      </c>
    </row>
    <row r="2" spans="1:6" x14ac:dyDescent="0.25">
      <c r="A2" s="9">
        <v>43106</v>
      </c>
      <c r="B2" s="11">
        <f>SaleData!D2*SaleData!E2</f>
        <v>113810</v>
      </c>
    </row>
    <row r="3" spans="1:6" x14ac:dyDescent="0.25">
      <c r="A3" s="9">
        <v>43123</v>
      </c>
      <c r="B3" s="11">
        <f>SaleData!D3*SaleData!E3</f>
        <v>25000</v>
      </c>
      <c r="E3" s="26" t="s">
        <v>16</v>
      </c>
      <c r="F3" s="27" t="s">
        <v>29</v>
      </c>
    </row>
    <row r="4" spans="1:6" x14ac:dyDescent="0.25">
      <c r="A4" s="9">
        <v>43140</v>
      </c>
      <c r="B4" s="11">
        <f>SaleData!D4*SaleData!E4</f>
        <v>43128</v>
      </c>
      <c r="E4" s="28" t="s">
        <v>17</v>
      </c>
      <c r="F4" s="29">
        <v>161810</v>
      </c>
    </row>
    <row r="5" spans="1:6" x14ac:dyDescent="0.25">
      <c r="A5" s="9">
        <v>43157</v>
      </c>
      <c r="B5" s="11">
        <f>SaleData!D5*SaleData!E5</f>
        <v>6075</v>
      </c>
      <c r="E5" s="28" t="s">
        <v>18</v>
      </c>
      <c r="F5" s="29">
        <v>94703</v>
      </c>
    </row>
    <row r="6" spans="1:6" x14ac:dyDescent="0.25">
      <c r="A6" s="9">
        <v>43174</v>
      </c>
      <c r="B6" s="11">
        <f>SaleData!D6*SaleData!E6</f>
        <v>67088</v>
      </c>
      <c r="E6" s="28" t="s">
        <v>19</v>
      </c>
      <c r="F6" s="29">
        <v>73513</v>
      </c>
    </row>
    <row r="7" spans="1:6" x14ac:dyDescent="0.25">
      <c r="A7" s="9">
        <v>43191</v>
      </c>
      <c r="B7" s="11">
        <f>SaleData!D7*SaleData!E7</f>
        <v>30000</v>
      </c>
      <c r="E7" s="28" t="s">
        <v>20</v>
      </c>
      <c r="F7" s="29">
        <v>220518</v>
      </c>
    </row>
    <row r="8" spans="1:6" x14ac:dyDescent="0.25">
      <c r="A8" s="9">
        <v>43208</v>
      </c>
      <c r="B8" s="11">
        <f>SaleData!D8*SaleData!E8</f>
        <v>89850</v>
      </c>
      <c r="E8" s="28" t="s">
        <v>21</v>
      </c>
      <c r="F8" s="29">
        <v>249650</v>
      </c>
    </row>
    <row r="9" spans="1:6" x14ac:dyDescent="0.25">
      <c r="A9" s="9">
        <v>43225</v>
      </c>
      <c r="B9" s="11">
        <f>SaleData!D9*SaleData!E9</f>
        <v>107820</v>
      </c>
      <c r="E9" s="28" t="s">
        <v>22</v>
      </c>
      <c r="F9" s="29">
        <v>138445</v>
      </c>
    </row>
    <row r="10" spans="1:6" x14ac:dyDescent="0.25">
      <c r="A10" s="9">
        <v>43242</v>
      </c>
      <c r="B10" s="11">
        <f>SaleData!D10*SaleData!E10</f>
        <v>38336</v>
      </c>
      <c r="E10" s="28" t="s">
        <v>23</v>
      </c>
      <c r="F10" s="29">
        <v>61844.5</v>
      </c>
    </row>
    <row r="11" spans="1:6" x14ac:dyDescent="0.25">
      <c r="A11" s="9">
        <v>43259</v>
      </c>
      <c r="B11" s="11">
        <f>SaleData!D11*SaleData!E11</f>
        <v>30000</v>
      </c>
      <c r="E11" s="28" t="s">
        <v>24</v>
      </c>
      <c r="F11" s="29">
        <v>44762</v>
      </c>
    </row>
    <row r="12" spans="1:6" x14ac:dyDescent="0.25">
      <c r="A12" s="9">
        <v>43276</v>
      </c>
      <c r="B12" s="11">
        <f>SaleData!D12*SaleData!E12</f>
        <v>107820</v>
      </c>
      <c r="E12" s="28" t="s">
        <v>25</v>
      </c>
      <c r="F12" s="29">
        <v>26672</v>
      </c>
    </row>
    <row r="13" spans="1:6" x14ac:dyDescent="0.25">
      <c r="A13" s="9">
        <v>43293</v>
      </c>
      <c r="B13" s="11">
        <f>SaleData!D13*SaleData!E13</f>
        <v>14500</v>
      </c>
      <c r="E13" s="28" t="s">
        <v>26</v>
      </c>
      <c r="F13" s="29">
        <v>73672</v>
      </c>
    </row>
    <row r="14" spans="1:6" x14ac:dyDescent="0.25">
      <c r="A14" s="9">
        <v>43310</v>
      </c>
      <c r="B14" s="11">
        <f>SaleData!D14*SaleData!E14</f>
        <v>40500</v>
      </c>
      <c r="E14" s="28" t="s">
        <v>27</v>
      </c>
      <c r="F14" s="29">
        <v>14491</v>
      </c>
    </row>
    <row r="15" spans="1:6" x14ac:dyDescent="0.25">
      <c r="A15" s="9">
        <v>43327</v>
      </c>
      <c r="B15" s="11">
        <f>SaleData!D15*SaleData!E15</f>
        <v>41930</v>
      </c>
      <c r="E15" s="28" t="s">
        <v>28</v>
      </c>
      <c r="F15" s="29">
        <v>145595</v>
      </c>
    </row>
    <row r="16" spans="1:6" x14ac:dyDescent="0.25">
      <c r="A16" s="9">
        <v>43344</v>
      </c>
      <c r="B16" s="11">
        <f>SaleData!D16*SaleData!E16</f>
        <v>250</v>
      </c>
      <c r="E16" s="28" t="s">
        <v>30</v>
      </c>
      <c r="F16" s="29">
        <v>1305675.5</v>
      </c>
    </row>
    <row r="17" spans="1:2" x14ac:dyDescent="0.25">
      <c r="A17" s="9">
        <v>43361</v>
      </c>
      <c r="B17" s="11">
        <f>SaleData!D17*SaleData!E17</f>
        <v>936</v>
      </c>
    </row>
    <row r="18" spans="1:2" x14ac:dyDescent="0.25">
      <c r="A18" s="9">
        <v>43378</v>
      </c>
      <c r="B18" s="11">
        <f>SaleData!D18*SaleData!E18</f>
        <v>14000</v>
      </c>
    </row>
    <row r="19" spans="1:2" x14ac:dyDescent="0.25">
      <c r="A19" s="9">
        <v>43395</v>
      </c>
      <c r="B19" s="11">
        <f>SaleData!D19*SaleData!E19</f>
        <v>14400</v>
      </c>
    </row>
    <row r="20" spans="1:2" x14ac:dyDescent="0.25">
      <c r="A20" s="9">
        <v>43412</v>
      </c>
      <c r="B20" s="11">
        <f>SaleData!D20*SaleData!E20</f>
        <v>3375</v>
      </c>
    </row>
    <row r="21" spans="1:2" x14ac:dyDescent="0.25">
      <c r="A21" s="9">
        <v>43429</v>
      </c>
      <c r="B21" s="11">
        <f>SaleData!D21*SaleData!E21</f>
        <v>5616</v>
      </c>
    </row>
    <row r="22" spans="1:2" x14ac:dyDescent="0.25">
      <c r="A22" s="9">
        <v>43446</v>
      </c>
      <c r="B22" s="11">
        <f>SaleData!D22*SaleData!E22</f>
        <v>80266</v>
      </c>
    </row>
    <row r="23" spans="1:2" x14ac:dyDescent="0.25">
      <c r="A23" s="9">
        <v>43463</v>
      </c>
      <c r="B23" s="11">
        <f>SaleData!D23*SaleData!E23</f>
        <v>4329</v>
      </c>
    </row>
    <row r="24" spans="1:2" x14ac:dyDescent="0.25">
      <c r="A24" s="9">
        <v>43480</v>
      </c>
      <c r="B24" s="11">
        <f>SaleData!D24*SaleData!E24</f>
        <v>23000</v>
      </c>
    </row>
    <row r="25" spans="1:2" x14ac:dyDescent="0.25">
      <c r="A25" s="9">
        <v>43497</v>
      </c>
      <c r="B25" s="11">
        <f>SaleData!D25*SaleData!E25</f>
        <v>43500</v>
      </c>
    </row>
    <row r="26" spans="1:2" x14ac:dyDescent="0.25">
      <c r="A26" s="9">
        <v>43514</v>
      </c>
      <c r="B26" s="11">
        <f>SaleData!D26*SaleData!E26</f>
        <v>2000</v>
      </c>
    </row>
    <row r="27" spans="1:2" x14ac:dyDescent="0.25">
      <c r="A27" s="9">
        <v>43531</v>
      </c>
      <c r="B27" s="11">
        <f>SaleData!D27*SaleData!E27</f>
        <v>3500</v>
      </c>
    </row>
    <row r="28" spans="1:2" x14ac:dyDescent="0.25">
      <c r="A28" s="9">
        <v>43548</v>
      </c>
      <c r="B28" s="11">
        <f>SaleData!D28*SaleData!E28</f>
        <v>29000</v>
      </c>
    </row>
    <row r="29" spans="1:2" x14ac:dyDescent="0.25">
      <c r="A29" s="9">
        <v>43565</v>
      </c>
      <c r="B29" s="11">
        <f>SaleData!D29*SaleData!E29</f>
        <v>79068</v>
      </c>
    </row>
    <row r="30" spans="1:2" x14ac:dyDescent="0.25">
      <c r="A30" s="9">
        <v>43582</v>
      </c>
      <c r="B30" s="11">
        <f>SaleData!D30*SaleData!E30</f>
        <v>21600</v>
      </c>
    </row>
    <row r="31" spans="1:2" x14ac:dyDescent="0.25">
      <c r="A31" s="9">
        <v>43599</v>
      </c>
      <c r="B31" s="11">
        <f>SaleData!D31*SaleData!E31</f>
        <v>63494</v>
      </c>
    </row>
    <row r="32" spans="1:2" x14ac:dyDescent="0.25">
      <c r="A32" s="9">
        <v>43616</v>
      </c>
      <c r="B32" s="11">
        <f>SaleData!D32*SaleData!E32</f>
        <v>40000</v>
      </c>
    </row>
    <row r="33" spans="1:2" x14ac:dyDescent="0.25">
      <c r="A33" s="9">
        <v>43633</v>
      </c>
      <c r="B33" s="11">
        <f>SaleData!D33*SaleData!E33</f>
        <v>625</v>
      </c>
    </row>
    <row r="34" spans="1:2" x14ac:dyDescent="0.25">
      <c r="A34" s="9">
        <v>43650</v>
      </c>
      <c r="B34" s="11">
        <f>SaleData!D34*SaleData!E34</f>
        <v>3627</v>
      </c>
    </row>
    <row r="35" spans="1:2" x14ac:dyDescent="0.25">
      <c r="A35" s="9">
        <v>43667</v>
      </c>
      <c r="B35" s="11">
        <f>SaleData!D35*SaleData!E35</f>
        <v>3217.5</v>
      </c>
    </row>
    <row r="36" spans="1:2" x14ac:dyDescent="0.25">
      <c r="A36" s="9">
        <v>43684</v>
      </c>
      <c r="B36" s="11">
        <f>SaleData!D36*SaleData!E36</f>
        <v>2457</v>
      </c>
    </row>
    <row r="37" spans="1:2" x14ac:dyDescent="0.25">
      <c r="A37" s="9">
        <v>43701</v>
      </c>
      <c r="B37" s="11">
        <f>SaleData!D37*SaleData!E37</f>
        <v>375</v>
      </c>
    </row>
    <row r="38" spans="1:2" x14ac:dyDescent="0.25">
      <c r="A38" s="9">
        <v>43718</v>
      </c>
      <c r="B38" s="11">
        <f>SaleData!D38*SaleData!E38</f>
        <v>8386</v>
      </c>
    </row>
    <row r="39" spans="1:2" x14ac:dyDescent="0.25">
      <c r="A39" s="9">
        <v>43735</v>
      </c>
      <c r="B39" s="11">
        <f>SaleData!D39*SaleData!E39</f>
        <v>17100</v>
      </c>
    </row>
    <row r="40" spans="1:2" x14ac:dyDescent="0.25">
      <c r="A40" s="9">
        <v>43752</v>
      </c>
      <c r="B40" s="11">
        <f>SaleData!D40*SaleData!E40</f>
        <v>28500</v>
      </c>
    </row>
    <row r="41" spans="1:2" x14ac:dyDescent="0.25">
      <c r="A41" s="9">
        <v>43769</v>
      </c>
      <c r="B41" s="11">
        <f>SaleData!D41*SaleData!E41</f>
        <v>16772</v>
      </c>
    </row>
    <row r="42" spans="1:2" x14ac:dyDescent="0.25">
      <c r="A42" s="9">
        <v>43786</v>
      </c>
      <c r="B42" s="11">
        <f>SaleData!D42*SaleData!E42</f>
        <v>5500</v>
      </c>
    </row>
    <row r="43" spans="1:2" x14ac:dyDescent="0.25">
      <c r="A43" s="9">
        <v>43803</v>
      </c>
      <c r="B43" s="11">
        <f>SaleData!D43*SaleData!E43</f>
        <v>47000</v>
      </c>
    </row>
    <row r="44" spans="1:2" x14ac:dyDescent="0.25">
      <c r="A44" s="9">
        <v>43820</v>
      </c>
      <c r="B44" s="11">
        <f>SaleData!D44*SaleData!E44</f>
        <v>14000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5E983-26D0-4978-B538-712929EF9B2C}">
  <dimension ref="A1:H44"/>
  <sheetViews>
    <sheetView zoomScale="84" workbookViewId="0">
      <selection activeCell="D4" sqref="D4:E10"/>
    </sheetView>
  </sheetViews>
  <sheetFormatPr defaultRowHeight="15" x14ac:dyDescent="0.25"/>
  <cols>
    <col min="1" max="1" width="12.140625" customWidth="1"/>
    <col min="2" max="2" width="16.5703125" customWidth="1"/>
    <col min="4" max="4" width="18.140625" bestFit="1" customWidth="1"/>
    <col min="5" max="5" width="25" bestFit="1" customWidth="1"/>
  </cols>
  <sheetData>
    <row r="1" spans="1:8" ht="15.75" x14ac:dyDescent="0.25">
      <c r="A1" s="12" t="s">
        <v>7</v>
      </c>
      <c r="B1" s="12" t="s">
        <v>14</v>
      </c>
    </row>
    <row r="2" spans="1:8" x14ac:dyDescent="0.25">
      <c r="A2" s="6" t="s">
        <v>8</v>
      </c>
      <c r="B2" s="11">
        <f>SaleData!D2*SaleData!E2</f>
        <v>113810</v>
      </c>
      <c r="F2" s="14"/>
      <c r="G2" s="15"/>
      <c r="H2" s="16"/>
    </row>
    <row r="3" spans="1:8" x14ac:dyDescent="0.25">
      <c r="A3" s="7" t="s">
        <v>9</v>
      </c>
      <c r="B3" s="11">
        <f>SaleData!D3*SaleData!E3</f>
        <v>25000</v>
      </c>
      <c r="F3" s="17"/>
      <c r="G3" s="18"/>
      <c r="H3" s="19"/>
    </row>
    <row r="4" spans="1:8" ht="15.75" x14ac:dyDescent="0.25">
      <c r="A4" s="6" t="s">
        <v>8</v>
      </c>
      <c r="B4" s="11">
        <f>SaleData!D4*SaleData!E4</f>
        <v>43128</v>
      </c>
      <c r="D4" s="30" t="s">
        <v>16</v>
      </c>
      <c r="E4" s="31" t="s">
        <v>29</v>
      </c>
      <c r="F4" s="17"/>
      <c r="G4" s="18"/>
      <c r="H4" s="19"/>
    </row>
    <row r="5" spans="1:8" ht="15.75" x14ac:dyDescent="0.25">
      <c r="A5" s="7" t="s">
        <v>9</v>
      </c>
      <c r="B5" s="11">
        <f>SaleData!D5*SaleData!E5</f>
        <v>6075</v>
      </c>
      <c r="D5" s="31" t="s">
        <v>8</v>
      </c>
      <c r="E5" s="32">
        <v>180239.5</v>
      </c>
      <c r="F5" s="17"/>
      <c r="G5" s="18"/>
      <c r="H5" s="19"/>
    </row>
    <row r="6" spans="1:8" ht="15.75" x14ac:dyDescent="0.25">
      <c r="A6" s="6" t="s">
        <v>10</v>
      </c>
      <c r="B6" s="11">
        <f>SaleData!D6*SaleData!E6</f>
        <v>67088</v>
      </c>
      <c r="D6" s="31" t="s">
        <v>9</v>
      </c>
      <c r="E6" s="32">
        <v>160151</v>
      </c>
      <c r="F6" s="17"/>
      <c r="G6" s="18"/>
      <c r="H6" s="19"/>
    </row>
    <row r="7" spans="1:8" ht="15.75" x14ac:dyDescent="0.25">
      <c r="A7" s="6" t="s">
        <v>10</v>
      </c>
      <c r="B7" s="11">
        <f>SaleData!D7*SaleData!E7</f>
        <v>30000</v>
      </c>
      <c r="D7" s="31" t="s">
        <v>10</v>
      </c>
      <c r="E7" s="32">
        <v>507726</v>
      </c>
      <c r="F7" s="17"/>
      <c r="G7" s="18"/>
      <c r="H7" s="19"/>
    </row>
    <row r="8" spans="1:8" ht="15.75" x14ac:dyDescent="0.25">
      <c r="A8" s="6" t="s">
        <v>10</v>
      </c>
      <c r="B8" s="11">
        <f>SaleData!D8*SaleData!E8</f>
        <v>89850</v>
      </c>
      <c r="D8" s="31" t="s">
        <v>11</v>
      </c>
      <c r="E8" s="32">
        <v>454634</v>
      </c>
      <c r="F8" s="17"/>
      <c r="G8" s="18"/>
      <c r="H8" s="19"/>
    </row>
    <row r="9" spans="1:8" ht="15.75" x14ac:dyDescent="0.25">
      <c r="A9" s="7" t="s">
        <v>10</v>
      </c>
      <c r="B9" s="11">
        <f>SaleData!D9*SaleData!E9</f>
        <v>107820</v>
      </c>
      <c r="D9" s="31" t="s">
        <v>12</v>
      </c>
      <c r="E9" s="32">
        <v>2925</v>
      </c>
      <c r="F9" s="17"/>
      <c r="G9" s="18"/>
      <c r="H9" s="19"/>
    </row>
    <row r="10" spans="1:8" ht="15.75" x14ac:dyDescent="0.25">
      <c r="A10" s="6" t="s">
        <v>11</v>
      </c>
      <c r="B10" s="11">
        <f>SaleData!D10*SaleData!E10</f>
        <v>38336</v>
      </c>
      <c r="D10" s="31" t="s">
        <v>31</v>
      </c>
      <c r="E10" s="32">
        <v>1305675.5</v>
      </c>
      <c r="F10" s="17"/>
      <c r="G10" s="18"/>
      <c r="H10" s="19"/>
    </row>
    <row r="11" spans="1:8" x14ac:dyDescent="0.25">
      <c r="A11" s="7" t="s">
        <v>10</v>
      </c>
      <c r="B11" s="11">
        <f>SaleData!D11*SaleData!E11</f>
        <v>30000</v>
      </c>
      <c r="F11" s="17"/>
      <c r="G11" s="18"/>
      <c r="H11" s="19"/>
    </row>
    <row r="12" spans="1:8" x14ac:dyDescent="0.25">
      <c r="A12" s="6" t="s">
        <v>11</v>
      </c>
      <c r="B12" s="11">
        <f>SaleData!D12*SaleData!E12</f>
        <v>107820</v>
      </c>
      <c r="F12" s="17"/>
      <c r="G12" s="18"/>
      <c r="H12" s="19"/>
    </row>
    <row r="13" spans="1:8" x14ac:dyDescent="0.25">
      <c r="A13" s="6" t="s">
        <v>10</v>
      </c>
      <c r="B13" s="11">
        <f>SaleData!D13*SaleData!E13</f>
        <v>14500</v>
      </c>
      <c r="F13" s="17"/>
      <c r="G13" s="18"/>
      <c r="H13" s="19"/>
    </row>
    <row r="14" spans="1:8" x14ac:dyDescent="0.25">
      <c r="A14" s="6" t="s">
        <v>10</v>
      </c>
      <c r="B14" s="11">
        <f>SaleData!D14*SaleData!E14</f>
        <v>40500</v>
      </c>
      <c r="F14" s="17"/>
      <c r="G14" s="18"/>
      <c r="H14" s="19"/>
    </row>
    <row r="15" spans="1:8" x14ac:dyDescent="0.25">
      <c r="A15" s="7" t="s">
        <v>9</v>
      </c>
      <c r="B15" s="11">
        <f>SaleData!D15*SaleData!E15</f>
        <v>41930</v>
      </c>
      <c r="F15" s="17"/>
      <c r="G15" s="18"/>
      <c r="H15" s="19"/>
    </row>
    <row r="16" spans="1:8" x14ac:dyDescent="0.25">
      <c r="A16" s="6" t="s">
        <v>11</v>
      </c>
      <c r="B16" s="11">
        <f>SaleData!D16*SaleData!E16</f>
        <v>250</v>
      </c>
      <c r="F16" s="17"/>
      <c r="G16" s="18"/>
      <c r="H16" s="19"/>
    </row>
    <row r="17" spans="1:8" x14ac:dyDescent="0.25">
      <c r="A17" s="7" t="s">
        <v>9</v>
      </c>
      <c r="B17" s="11">
        <f>SaleData!D17*SaleData!E17</f>
        <v>936</v>
      </c>
      <c r="F17" s="17"/>
      <c r="G17" s="18"/>
      <c r="H17" s="19"/>
    </row>
    <row r="18" spans="1:8" x14ac:dyDescent="0.25">
      <c r="A18" s="6" t="s">
        <v>8</v>
      </c>
      <c r="B18" s="11">
        <f>SaleData!D18*SaleData!E18</f>
        <v>14000</v>
      </c>
      <c r="F18" s="17"/>
      <c r="G18" s="18"/>
      <c r="H18" s="19"/>
    </row>
    <row r="19" spans="1:8" x14ac:dyDescent="0.25">
      <c r="A19" s="7" t="s">
        <v>10</v>
      </c>
      <c r="B19" s="11">
        <f>SaleData!D19*SaleData!E19</f>
        <v>14400</v>
      </c>
      <c r="F19" s="20"/>
      <c r="G19" s="21"/>
      <c r="H19" s="22"/>
    </row>
    <row r="20" spans="1:8" x14ac:dyDescent="0.25">
      <c r="A20" s="6" t="s">
        <v>10</v>
      </c>
      <c r="B20" s="11">
        <f>SaleData!D20*SaleData!E20</f>
        <v>3375</v>
      </c>
    </row>
    <row r="21" spans="1:8" x14ac:dyDescent="0.25">
      <c r="A21" s="7" t="s">
        <v>9</v>
      </c>
      <c r="B21" s="11">
        <f>SaleData!D21*SaleData!E21</f>
        <v>5616</v>
      </c>
    </row>
    <row r="22" spans="1:8" x14ac:dyDescent="0.25">
      <c r="A22" s="6" t="s">
        <v>11</v>
      </c>
      <c r="B22" s="11">
        <f>SaleData!D22*SaleData!E22</f>
        <v>80266</v>
      </c>
    </row>
    <row r="23" spans="1:8" x14ac:dyDescent="0.25">
      <c r="A23" s="6" t="s">
        <v>11</v>
      </c>
      <c r="B23" s="11">
        <f>SaleData!D23*SaleData!E23</f>
        <v>4329</v>
      </c>
    </row>
    <row r="24" spans="1:8" x14ac:dyDescent="0.25">
      <c r="A24" s="6" t="s">
        <v>11</v>
      </c>
      <c r="B24" s="11">
        <f>SaleData!D24*SaleData!E24</f>
        <v>23000</v>
      </c>
    </row>
    <row r="25" spans="1:8" x14ac:dyDescent="0.25">
      <c r="A25" s="6" t="s">
        <v>11</v>
      </c>
      <c r="B25" s="11">
        <f>SaleData!D25*SaleData!E25</f>
        <v>43500</v>
      </c>
    </row>
    <row r="26" spans="1:8" x14ac:dyDescent="0.25">
      <c r="A26" s="6" t="s">
        <v>10</v>
      </c>
      <c r="B26" s="11">
        <f>SaleData!D26*SaleData!E26</f>
        <v>2000</v>
      </c>
    </row>
    <row r="27" spans="1:8" x14ac:dyDescent="0.25">
      <c r="A27" s="7" t="s">
        <v>11</v>
      </c>
      <c r="B27" s="11">
        <f>SaleData!D27*SaleData!E27</f>
        <v>3500</v>
      </c>
    </row>
    <row r="28" spans="1:8" x14ac:dyDescent="0.25">
      <c r="A28" s="6" t="s">
        <v>12</v>
      </c>
      <c r="B28" s="11">
        <f>SaleData!D28*SaleData!E28</f>
        <v>29000</v>
      </c>
    </row>
    <row r="29" spans="1:8" x14ac:dyDescent="0.25">
      <c r="A29" s="7" t="s">
        <v>10</v>
      </c>
      <c r="B29" s="11">
        <f>SaleData!D29*SaleData!E29</f>
        <v>79068</v>
      </c>
    </row>
    <row r="30" spans="1:8" x14ac:dyDescent="0.25">
      <c r="A30" s="6" t="s">
        <v>11</v>
      </c>
      <c r="B30" s="11">
        <f>SaleData!D30*SaleData!E30</f>
        <v>21600</v>
      </c>
    </row>
    <row r="31" spans="1:8" x14ac:dyDescent="0.25">
      <c r="A31" s="7" t="s">
        <v>9</v>
      </c>
      <c r="B31" s="11">
        <f>SaleData!D31*SaleData!E31</f>
        <v>63494</v>
      </c>
    </row>
    <row r="32" spans="1:8" x14ac:dyDescent="0.25">
      <c r="A32" s="6" t="s">
        <v>11</v>
      </c>
      <c r="B32" s="11">
        <f>SaleData!D32*SaleData!E32</f>
        <v>40000</v>
      </c>
    </row>
    <row r="33" spans="1:2" x14ac:dyDescent="0.25">
      <c r="A33" s="6" t="s">
        <v>10</v>
      </c>
      <c r="B33" s="11">
        <f>SaleData!D33*SaleData!E33</f>
        <v>625</v>
      </c>
    </row>
    <row r="34" spans="1:2" x14ac:dyDescent="0.25">
      <c r="A34" s="6" t="s">
        <v>8</v>
      </c>
      <c r="B34" s="11">
        <f>SaleData!D34*SaleData!E34</f>
        <v>3627</v>
      </c>
    </row>
    <row r="35" spans="1:2" x14ac:dyDescent="0.25">
      <c r="A35" s="6" t="s">
        <v>8</v>
      </c>
      <c r="B35" s="11">
        <f>SaleData!D35*SaleData!E35</f>
        <v>3217.5</v>
      </c>
    </row>
    <row r="36" spans="1:2" x14ac:dyDescent="0.25">
      <c r="A36" s="6" t="s">
        <v>8</v>
      </c>
      <c r="B36" s="11">
        <f>SaleData!D36*SaleData!E36</f>
        <v>2457</v>
      </c>
    </row>
    <row r="37" spans="1:2" x14ac:dyDescent="0.25">
      <c r="A37" s="6" t="s">
        <v>11</v>
      </c>
      <c r="B37" s="11">
        <f>SaleData!D37*SaleData!E37</f>
        <v>375</v>
      </c>
    </row>
    <row r="38" spans="1:2" x14ac:dyDescent="0.25">
      <c r="A38" s="6" t="s">
        <v>11</v>
      </c>
      <c r="B38" s="11">
        <f>SaleData!D38*SaleData!E38</f>
        <v>8386</v>
      </c>
    </row>
    <row r="39" spans="1:2" x14ac:dyDescent="0.25">
      <c r="A39" s="7" t="s">
        <v>9</v>
      </c>
      <c r="B39" s="11">
        <f>SaleData!D39*SaleData!E39</f>
        <v>17100</v>
      </c>
    </row>
    <row r="40" spans="1:2" x14ac:dyDescent="0.25">
      <c r="A40" s="6" t="s">
        <v>10</v>
      </c>
      <c r="B40" s="11">
        <f>SaleData!D40*SaleData!E40</f>
        <v>28500</v>
      </c>
    </row>
    <row r="41" spans="1:2" x14ac:dyDescent="0.25">
      <c r="A41" s="7" t="s">
        <v>11</v>
      </c>
      <c r="B41" s="11">
        <f>SaleData!D41*SaleData!E41</f>
        <v>16772</v>
      </c>
    </row>
    <row r="42" spans="1:2" x14ac:dyDescent="0.25">
      <c r="A42" s="6" t="s">
        <v>11</v>
      </c>
      <c r="B42" s="11">
        <f>SaleData!D42*SaleData!E42</f>
        <v>5500</v>
      </c>
    </row>
    <row r="43" spans="1:2" x14ac:dyDescent="0.25">
      <c r="A43" s="7" t="s">
        <v>11</v>
      </c>
      <c r="B43" s="11">
        <f>SaleData!D43*SaleData!E43</f>
        <v>47000</v>
      </c>
    </row>
    <row r="44" spans="1:2" x14ac:dyDescent="0.25">
      <c r="A44" s="6" t="s">
        <v>11</v>
      </c>
      <c r="B44" s="11">
        <f>SaleData!D44*SaleData!E44</f>
        <v>14000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7EF79-5561-471F-9887-99485928EAD0}">
  <dimension ref="A1:F44"/>
  <sheetViews>
    <sheetView workbookViewId="0">
      <selection activeCell="J24" sqref="J24"/>
    </sheetView>
  </sheetViews>
  <sheetFormatPr defaultRowHeight="15" x14ac:dyDescent="0.25"/>
  <cols>
    <col min="1" max="1" width="14.85546875" customWidth="1"/>
    <col min="2" max="2" width="16.7109375" customWidth="1"/>
    <col min="5" max="5" width="14.5703125" bestFit="1" customWidth="1"/>
    <col min="6" max="6" width="20.85546875" bestFit="1" customWidth="1"/>
  </cols>
  <sheetData>
    <row r="1" spans="1:6" ht="15.75" x14ac:dyDescent="0.25">
      <c r="A1" s="12" t="s">
        <v>13</v>
      </c>
      <c r="B1" s="12" t="s">
        <v>14</v>
      </c>
    </row>
    <row r="2" spans="1:6" x14ac:dyDescent="0.25">
      <c r="A2" s="10" t="s">
        <v>2</v>
      </c>
      <c r="B2" s="11">
        <f>SaleData!D2*SaleData!E2</f>
        <v>113810</v>
      </c>
    </row>
    <row r="3" spans="1:6" x14ac:dyDescent="0.25">
      <c r="A3" s="10" t="s">
        <v>6</v>
      </c>
      <c r="B3" s="11">
        <f>SaleData!D3*SaleData!E3</f>
        <v>25000</v>
      </c>
    </row>
    <row r="4" spans="1:6" x14ac:dyDescent="0.25">
      <c r="A4" s="10" t="s">
        <v>2</v>
      </c>
      <c r="B4" s="11">
        <f>SaleData!D4*SaleData!E4</f>
        <v>43128</v>
      </c>
      <c r="E4" s="23" t="s">
        <v>16</v>
      </c>
      <c r="F4" t="s">
        <v>29</v>
      </c>
    </row>
    <row r="5" spans="1:6" x14ac:dyDescent="0.25">
      <c r="A5" s="10" t="s">
        <v>3</v>
      </c>
      <c r="B5" s="11">
        <f>SaleData!D5*SaleData!E5</f>
        <v>6075</v>
      </c>
      <c r="E5" s="24" t="s">
        <v>3</v>
      </c>
      <c r="F5" s="25">
        <v>62550</v>
      </c>
    </row>
    <row r="6" spans="1:6" x14ac:dyDescent="0.25">
      <c r="A6" s="10" t="s">
        <v>2</v>
      </c>
      <c r="B6" s="11">
        <f>SaleData!D6*SaleData!E6</f>
        <v>67088</v>
      </c>
      <c r="E6" s="24" t="s">
        <v>1</v>
      </c>
      <c r="F6" s="25">
        <v>1250</v>
      </c>
    </row>
    <row r="7" spans="1:6" x14ac:dyDescent="0.25">
      <c r="A7" s="10" t="s">
        <v>6</v>
      </c>
      <c r="B7" s="11">
        <f>SaleData!D7*SaleData!E7</f>
        <v>30000</v>
      </c>
      <c r="E7" s="24" t="s">
        <v>6</v>
      </c>
      <c r="F7" s="25">
        <v>361000</v>
      </c>
    </row>
    <row r="8" spans="1:6" x14ac:dyDescent="0.25">
      <c r="A8" s="10" t="s">
        <v>2</v>
      </c>
      <c r="B8" s="11">
        <f>SaleData!D8*SaleData!E8</f>
        <v>89850</v>
      </c>
      <c r="E8" s="24" t="s">
        <v>2</v>
      </c>
      <c r="F8" s="25">
        <v>857768</v>
      </c>
    </row>
    <row r="9" spans="1:6" x14ac:dyDescent="0.25">
      <c r="A9" s="10" t="s">
        <v>2</v>
      </c>
      <c r="B9" s="11">
        <f>SaleData!D9*SaleData!E9</f>
        <v>107820</v>
      </c>
      <c r="E9" s="24" t="s">
        <v>4</v>
      </c>
      <c r="F9" s="25">
        <v>49182.5</v>
      </c>
    </row>
    <row r="10" spans="1:6" x14ac:dyDescent="0.25">
      <c r="A10" s="10" t="s">
        <v>2</v>
      </c>
      <c r="B10" s="11">
        <f>SaleData!D10*SaleData!E10</f>
        <v>38336</v>
      </c>
      <c r="E10" s="24" t="s">
        <v>32</v>
      </c>
      <c r="F10" s="25">
        <v>1331750.5</v>
      </c>
    </row>
    <row r="11" spans="1:6" x14ac:dyDescent="0.25">
      <c r="A11" s="10" t="s">
        <v>6</v>
      </c>
      <c r="B11" s="11">
        <f>SaleData!D11*SaleData!E11</f>
        <v>30000</v>
      </c>
    </row>
    <row r="12" spans="1:6" x14ac:dyDescent="0.25">
      <c r="A12" s="10" t="s">
        <v>2</v>
      </c>
      <c r="B12" s="11">
        <f>SaleData!D12*SaleData!E12</f>
        <v>107820</v>
      </c>
    </row>
    <row r="13" spans="1:6" x14ac:dyDescent="0.25">
      <c r="A13" s="10" t="s">
        <v>6</v>
      </c>
      <c r="B13" s="11">
        <f>SaleData!D13*SaleData!E13</f>
        <v>14500</v>
      </c>
    </row>
    <row r="14" spans="1:6" x14ac:dyDescent="0.25">
      <c r="A14" s="10" t="s">
        <v>6</v>
      </c>
      <c r="B14" s="11">
        <f>SaleData!D14*SaleData!E14</f>
        <v>40500</v>
      </c>
    </row>
    <row r="15" spans="1:6" x14ac:dyDescent="0.25">
      <c r="A15" s="10" t="s">
        <v>2</v>
      </c>
      <c r="B15" s="11">
        <f>SaleData!D15*SaleData!E15</f>
        <v>41930</v>
      </c>
    </row>
    <row r="16" spans="1:6" x14ac:dyDescent="0.25">
      <c r="A16" s="10" t="s">
        <v>1</v>
      </c>
      <c r="B16" s="11">
        <f>SaleData!D16*SaleData!E16</f>
        <v>250</v>
      </c>
    </row>
    <row r="17" spans="1:2" x14ac:dyDescent="0.25">
      <c r="A17" s="10" t="s">
        <v>4</v>
      </c>
      <c r="B17" s="11">
        <f>SaleData!D17*SaleData!E17</f>
        <v>936</v>
      </c>
    </row>
    <row r="18" spans="1:2" x14ac:dyDescent="0.25">
      <c r="A18" s="10" t="s">
        <v>6</v>
      </c>
      <c r="B18" s="11">
        <f>SaleData!D18*SaleData!E18</f>
        <v>14000</v>
      </c>
    </row>
    <row r="19" spans="1:2" x14ac:dyDescent="0.25">
      <c r="A19" s="10" t="s">
        <v>3</v>
      </c>
      <c r="B19" s="11">
        <f>SaleData!D19*SaleData!E19</f>
        <v>14400</v>
      </c>
    </row>
    <row r="20" spans="1:2" x14ac:dyDescent="0.25">
      <c r="A20" s="10" t="s">
        <v>3</v>
      </c>
      <c r="B20" s="11">
        <f>SaleData!D20*SaleData!E20</f>
        <v>3375</v>
      </c>
    </row>
    <row r="21" spans="1:2" x14ac:dyDescent="0.25">
      <c r="A21" s="10" t="s">
        <v>4</v>
      </c>
      <c r="B21" s="11">
        <f>SaleData!D21*SaleData!E21</f>
        <v>5616</v>
      </c>
    </row>
    <row r="22" spans="1:2" x14ac:dyDescent="0.25">
      <c r="A22" s="10" t="s">
        <v>2</v>
      </c>
      <c r="B22" s="11">
        <f>SaleData!D22*SaleData!E22</f>
        <v>80266</v>
      </c>
    </row>
    <row r="23" spans="1:2" x14ac:dyDescent="0.25">
      <c r="A23" s="10" t="s">
        <v>4</v>
      </c>
      <c r="B23" s="11">
        <f>SaleData!D23*SaleData!E23</f>
        <v>4329</v>
      </c>
    </row>
    <row r="24" spans="1:2" x14ac:dyDescent="0.25">
      <c r="A24" s="10" t="s">
        <v>6</v>
      </c>
      <c r="B24" s="11">
        <f>SaleData!D24*SaleData!E24</f>
        <v>23000</v>
      </c>
    </row>
    <row r="25" spans="1:2" x14ac:dyDescent="0.25">
      <c r="A25" s="10" t="s">
        <v>6</v>
      </c>
      <c r="B25" s="11">
        <f>SaleData!D25*SaleData!E25</f>
        <v>43500</v>
      </c>
    </row>
    <row r="26" spans="1:2" x14ac:dyDescent="0.25">
      <c r="A26" s="10" t="s">
        <v>6</v>
      </c>
      <c r="B26" s="11">
        <f>SaleData!D26*SaleData!E26</f>
        <v>2000</v>
      </c>
    </row>
    <row r="27" spans="1:2" x14ac:dyDescent="0.25">
      <c r="A27" s="10" t="s">
        <v>6</v>
      </c>
      <c r="B27" s="11">
        <f>SaleData!D27*SaleData!E27</f>
        <v>3500</v>
      </c>
    </row>
    <row r="28" spans="1:2" x14ac:dyDescent="0.25">
      <c r="A28" s="10" t="s">
        <v>4</v>
      </c>
      <c r="B28" s="11">
        <f>SaleData!D28*SaleData!E28</f>
        <v>29000</v>
      </c>
    </row>
    <row r="29" spans="1:2" x14ac:dyDescent="0.25">
      <c r="A29" s="10" t="s">
        <v>2</v>
      </c>
      <c r="B29" s="11">
        <f>SaleData!D29*SaleData!E29</f>
        <v>79068</v>
      </c>
    </row>
    <row r="30" spans="1:2" x14ac:dyDescent="0.25">
      <c r="A30" s="10" t="s">
        <v>3</v>
      </c>
      <c r="B30" s="11">
        <f>SaleData!D30*SaleData!E30</f>
        <v>21600</v>
      </c>
    </row>
    <row r="31" spans="1:2" x14ac:dyDescent="0.25">
      <c r="A31" s="10" t="s">
        <v>2</v>
      </c>
      <c r="B31" s="11">
        <f>SaleData!D31*SaleData!E31</f>
        <v>63494</v>
      </c>
    </row>
    <row r="32" spans="1:2" x14ac:dyDescent="0.25">
      <c r="A32" s="10" t="s">
        <v>6</v>
      </c>
      <c r="B32" s="11">
        <f>SaleData!D32*SaleData!E32</f>
        <v>40000</v>
      </c>
    </row>
    <row r="33" spans="1:2" x14ac:dyDescent="0.25">
      <c r="A33" s="10" t="s">
        <v>1</v>
      </c>
      <c r="B33" s="11">
        <f>SaleData!D33*SaleData!E33</f>
        <v>625</v>
      </c>
    </row>
    <row r="34" spans="1:2" x14ac:dyDescent="0.25">
      <c r="A34" s="10" t="s">
        <v>4</v>
      </c>
      <c r="B34" s="11">
        <f>SaleData!D34*SaleData!E34</f>
        <v>3627</v>
      </c>
    </row>
    <row r="35" spans="1:2" x14ac:dyDescent="0.25">
      <c r="A35" s="10" t="s">
        <v>4</v>
      </c>
      <c r="B35" s="11">
        <f>SaleData!D35*SaleData!E35</f>
        <v>3217.5</v>
      </c>
    </row>
    <row r="36" spans="1:2" x14ac:dyDescent="0.25">
      <c r="A36" s="10" t="s">
        <v>4</v>
      </c>
      <c r="B36" s="11">
        <f>SaleData!D36*SaleData!E36</f>
        <v>2457</v>
      </c>
    </row>
    <row r="37" spans="1:2" x14ac:dyDescent="0.25">
      <c r="A37" s="10" t="s">
        <v>1</v>
      </c>
      <c r="B37" s="11">
        <f>SaleData!D37*SaleData!E37</f>
        <v>375</v>
      </c>
    </row>
    <row r="38" spans="1:2" x14ac:dyDescent="0.25">
      <c r="A38" s="10" t="s">
        <v>2</v>
      </c>
      <c r="B38" s="11">
        <f>SaleData!D38*SaleData!E38</f>
        <v>8386</v>
      </c>
    </row>
    <row r="39" spans="1:2" x14ac:dyDescent="0.25">
      <c r="A39" s="10" t="s">
        <v>3</v>
      </c>
      <c r="B39" s="11">
        <f>SaleData!D39*SaleData!E39</f>
        <v>17100</v>
      </c>
    </row>
    <row r="40" spans="1:2" x14ac:dyDescent="0.25">
      <c r="A40" s="10" t="s">
        <v>6</v>
      </c>
      <c r="B40" s="11">
        <f>SaleData!D40*SaleData!E40</f>
        <v>28500</v>
      </c>
    </row>
    <row r="41" spans="1:2" x14ac:dyDescent="0.25">
      <c r="A41" s="10" t="s">
        <v>2</v>
      </c>
      <c r="B41" s="11">
        <f>SaleData!D41*SaleData!E41</f>
        <v>16772</v>
      </c>
    </row>
    <row r="42" spans="1:2" x14ac:dyDescent="0.25">
      <c r="A42" s="10" t="s">
        <v>6</v>
      </c>
      <c r="B42" s="11">
        <f>SaleData!D42*SaleData!E42</f>
        <v>5500</v>
      </c>
    </row>
    <row r="43" spans="1:2" x14ac:dyDescent="0.25">
      <c r="A43" s="10" t="s">
        <v>6</v>
      </c>
      <c r="B43" s="11">
        <f>SaleData!D43*SaleData!E43</f>
        <v>47000</v>
      </c>
    </row>
    <row r="44" spans="1:2" x14ac:dyDescent="0.25">
      <c r="A44" s="10" t="s">
        <v>6</v>
      </c>
      <c r="B44" s="11">
        <f>SaleData!D44*SaleData!E44</f>
        <v>14000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94966-3D9B-464A-B474-EB114DAF70D5}">
  <dimension ref="A1"/>
  <sheetViews>
    <sheetView workbookViewId="0">
      <selection activeCell="E33" sqref="E33"/>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tructure xmlns="thqs">{"Id":"00000000-0000-0000-0000-000000000000","ParentId":null,"Name":"Root","IsExpanded":false,"Children":[]}</Structure>
</file>

<file path=customXml/itemProps1.xml><?xml version="1.0" encoding="utf-8"?>
<ds:datastoreItem xmlns:ds="http://schemas.openxmlformats.org/officeDocument/2006/customXml" ds:itemID="{A901E35E-065E-4A2A-895E-508E746953CD}">
  <ds:schemaRefs>
    <ds:schemaRef ds:uri="thq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SaleData</vt:lpstr>
      <vt:lpstr>Month Wise total Sales</vt:lpstr>
      <vt:lpstr>Area Wise Total Sales</vt:lpstr>
      <vt:lpstr>Product Wise Total Sales </vt:lpstr>
      <vt:lpstr>Dashboard</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Excel Data</dc:title>
  <dc:subject>Sample Excel Data</dc:subject>
  <dc:creator>Debra Dalgleish</dc:creator>
  <cp:keywords>Excel data, sample data</cp:keywords>
  <dc:description>Sample sales orders for use in testing Excel data</dc:description>
  <cp:lastModifiedBy>MD.SHAKIB HASAN</cp:lastModifiedBy>
  <dcterms:created xsi:type="dcterms:W3CDTF">2004-05-01T18:16:56Z</dcterms:created>
  <dcterms:modified xsi:type="dcterms:W3CDTF">2024-10-05T04:34:29Z</dcterms:modified>
  <cp:category>Excel</cp:category>
</cp:coreProperties>
</file>